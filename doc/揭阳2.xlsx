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36" activeTab="15"/>
  </bookViews>
  <sheets>
    <sheet name="雄宇" sheetId="1" r:id="rId1"/>
    <sheet name="丹娜" sheetId="2" r:id="rId2"/>
    <sheet name="锐忠散户" sheetId="3" r:id="rId3"/>
    <sheet name="红忠" sheetId="4" r:id="rId4"/>
    <sheet name="锐忠" sheetId="5" r:id="rId5"/>
    <sheet name="标胜" sheetId="6" r:id="rId6"/>
    <sheet name="灿林" sheetId="7" r:id="rId7"/>
    <sheet name="葫芦" sheetId="8" r:id="rId8"/>
    <sheet name="广大" sheetId="9" r:id="rId9"/>
    <sheet name="燕姐" sheetId="10" r:id="rId10"/>
    <sheet name="杰兄" sheetId="11" r:id="rId11"/>
    <sheet name="普宁中通" sheetId="12" r:id="rId12"/>
    <sheet name="伟彦" sheetId="13" r:id="rId13"/>
    <sheet name="阳江" sheetId="14" r:id="rId14"/>
    <sheet name="陈洁治" sheetId="15" r:id="rId15"/>
    <sheet name="玉亮散户" sheetId="16" r:id="rId16"/>
    <sheet name="快递兄弟" sheetId="17" r:id="rId17"/>
    <sheet name="顺达" sheetId="18" r:id="rId18"/>
    <sheet name="顺达老同" sheetId="19" r:id="rId19"/>
    <sheet name="德邦" sheetId="20" r:id="rId20"/>
    <sheet name="万家" sheetId="21" r:id="rId21"/>
    <sheet name="地都土" sheetId="22" r:id="rId22"/>
    <sheet name="陈店土" sheetId="23" r:id="rId23"/>
    <sheet name="云路土" sheetId="24" r:id="rId24"/>
    <sheet name="泥浆" sheetId="25" r:id="rId25"/>
    <sheet name="吊车大巴" sheetId="26" r:id="rId26"/>
    <sheet name="海大" sheetId="27" r:id="rId27"/>
    <sheet name="玉浦" sheetId="28" r:id="rId28"/>
    <sheet name="宾驰" sheetId="29" r:id="rId29"/>
    <sheet name="地都" sheetId="30" r:id="rId30"/>
    <sheet name="仙桥" sheetId="31" r:id="rId31"/>
    <sheet name="生隆" sheetId="32" r:id="rId32"/>
    <sheet name="陈店" sheetId="33" r:id="rId33"/>
    <sheet name="潮州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<sst xmlns="http://schemas.openxmlformats.org/spreadsheetml/2006/main" count="1195" uniqueCount="612">
  <si>
    <t>名称：</t>
  </si>
  <si>
    <t>雄宇</t>
  </si>
  <si>
    <t>200升以上5.85，200升以下5.95</t>
  </si>
  <si>
    <t>车号：</t>
  </si>
  <si>
    <t>粤VX2081</t>
  </si>
  <si>
    <t>粤VX1739</t>
  </si>
  <si>
    <t>粤VN8296</t>
  </si>
  <si>
    <t>粤VR0563</t>
  </si>
  <si>
    <t>粤VM7980</t>
  </si>
  <si>
    <t>粤VN3451</t>
  </si>
  <si>
    <t>粤VQ2203</t>
  </si>
  <si>
    <t>粤VY5201</t>
  </si>
  <si>
    <t>粤VA7245</t>
  </si>
  <si>
    <t>赣C6653W</t>
  </si>
  <si>
    <t>粤MJ8298</t>
  </si>
  <si>
    <t>粤VV2703</t>
  </si>
  <si>
    <t>赣D96798</t>
  </si>
  <si>
    <t>粤VD4137</t>
  </si>
  <si>
    <t>粤VL1702</t>
  </si>
  <si>
    <t>粤VS8482</t>
  </si>
  <si>
    <t>粤V34123</t>
  </si>
  <si>
    <t>粤VLK398</t>
  </si>
  <si>
    <t>粤VQ2850</t>
  </si>
  <si>
    <t>粤V90897</t>
  </si>
  <si>
    <t>粤VQ4140</t>
  </si>
  <si>
    <t>粤VUS125</t>
  </si>
  <si>
    <t>粤V55W71</t>
  </si>
  <si>
    <t>粤V07U15</t>
  </si>
  <si>
    <t>粤V0Q999</t>
  </si>
  <si>
    <t>粤V6583D</t>
  </si>
  <si>
    <t>粤V82N55</t>
  </si>
  <si>
    <t>粤V37731</t>
  </si>
  <si>
    <t>赣C1173Z</t>
  </si>
  <si>
    <t>粤UQ3507</t>
  </si>
  <si>
    <t>粤V62762</t>
  </si>
  <si>
    <t>粤VW0056</t>
  </si>
  <si>
    <t>日期</t>
  </si>
  <si>
    <t>车牌号</t>
  </si>
  <si>
    <t>数量</t>
  </si>
  <si>
    <t>单价</t>
  </si>
  <si>
    <t>金额</t>
  </si>
  <si>
    <t xml:space="preserve"> </t>
  </si>
  <si>
    <t xml:space="preserve">粤VW0056    </t>
  </si>
  <si>
    <t xml:space="preserve">粤VR0563    </t>
  </si>
  <si>
    <t xml:space="preserve">粤VQ4140    </t>
  </si>
  <si>
    <t xml:space="preserve">粤VUS125    </t>
  </si>
  <si>
    <t xml:space="preserve">粤VLK398    </t>
  </si>
  <si>
    <t xml:space="preserve">粤VM7980    </t>
  </si>
  <si>
    <t xml:space="preserve">粤UQ3507    </t>
  </si>
  <si>
    <t xml:space="preserve">粤VQ2850    </t>
  </si>
  <si>
    <t xml:space="preserve">粤VQ2203    </t>
  </si>
  <si>
    <t xml:space="preserve">赣D96798    </t>
  </si>
  <si>
    <t xml:space="preserve">粤VN8296    </t>
  </si>
  <si>
    <t xml:space="preserve">粤V82N55    </t>
  </si>
  <si>
    <t xml:space="preserve">粤V07U15    </t>
  </si>
  <si>
    <t xml:space="preserve">粤MJ8298    </t>
  </si>
  <si>
    <t xml:space="preserve">粤V55W71    </t>
  </si>
  <si>
    <t xml:space="preserve">粤V0Q999    </t>
  </si>
  <si>
    <t xml:space="preserve">粤V34123    </t>
  </si>
  <si>
    <t xml:space="preserve">粤VX2081    </t>
  </si>
  <si>
    <t xml:space="preserve">粤VS8482    </t>
  </si>
  <si>
    <t>林丹娜</t>
  </si>
  <si>
    <t>粤VQ6290</t>
  </si>
  <si>
    <t>粤VAF892</t>
  </si>
  <si>
    <t>赣CA1338</t>
  </si>
  <si>
    <t>粤V695Q5</t>
  </si>
  <si>
    <t>200升以上5.85</t>
  </si>
  <si>
    <t>粤V9P969</t>
  </si>
  <si>
    <t>粤V79697</t>
  </si>
  <si>
    <t>粤VA4769</t>
  </si>
  <si>
    <t>粤VX5710</t>
  </si>
  <si>
    <t>机动084就是408</t>
  </si>
  <si>
    <t>粤VZ0668</t>
  </si>
  <si>
    <t>粤VP5526</t>
  </si>
  <si>
    <t>粤VS6571</t>
  </si>
  <si>
    <t>粤V21146</t>
  </si>
  <si>
    <t xml:space="preserve">粤VA4769    </t>
  </si>
  <si>
    <t xml:space="preserve">赣CA1338    </t>
  </si>
  <si>
    <t xml:space="preserve">粤V79697    </t>
  </si>
  <si>
    <t xml:space="preserve">机动        </t>
  </si>
  <si>
    <t xml:space="preserve">粤V695Q5    </t>
  </si>
  <si>
    <t xml:space="preserve">粤VS6571    </t>
  </si>
  <si>
    <t>锐忠散户</t>
  </si>
  <si>
    <t>粤VZ3080</t>
  </si>
  <si>
    <t>粤V03863</t>
  </si>
  <si>
    <t>粤V73761</t>
  </si>
  <si>
    <t>粤VN0966</t>
  </si>
  <si>
    <t>粤VF6926</t>
  </si>
  <si>
    <t>锐忠机动</t>
  </si>
  <si>
    <t>赣C5N490</t>
  </si>
  <si>
    <t>粤VA1422</t>
  </si>
  <si>
    <t>赣CCG859</t>
  </si>
  <si>
    <t>粤V05249</t>
  </si>
  <si>
    <t>赣C3M640</t>
  </si>
  <si>
    <t>粤AFW372</t>
  </si>
  <si>
    <t>赣CAZ939</t>
  </si>
  <si>
    <t>粤D2879K</t>
  </si>
  <si>
    <t>粤VP6887</t>
  </si>
  <si>
    <t>粤V03048</t>
  </si>
  <si>
    <t>粤V92187</t>
  </si>
  <si>
    <t>粤V98509</t>
  </si>
  <si>
    <t>粤LT616Z</t>
  </si>
  <si>
    <t>粤V02182</t>
  </si>
  <si>
    <t>粤V39548</t>
  </si>
  <si>
    <t>粤V01972</t>
  </si>
  <si>
    <t>粤V03965</t>
  </si>
  <si>
    <t>粤V05268</t>
  </si>
  <si>
    <t>赣AQ2711</t>
  </si>
  <si>
    <t>赣C0R531</t>
  </si>
  <si>
    <t>赣M83285</t>
  </si>
  <si>
    <t>吴红忠</t>
  </si>
  <si>
    <t>红忠大同卡</t>
  </si>
  <si>
    <t>机动卡</t>
  </si>
  <si>
    <t>尾号077</t>
  </si>
  <si>
    <t>锐忠</t>
  </si>
  <si>
    <t>粤VZ8558</t>
  </si>
  <si>
    <t>粤VX0945</t>
  </si>
  <si>
    <t>赣CAY252</t>
  </si>
  <si>
    <t>粤V6V115</t>
  </si>
  <si>
    <t>粤VQ4541</t>
  </si>
  <si>
    <t>粤V6C896</t>
  </si>
  <si>
    <t>赣K96093</t>
  </si>
  <si>
    <t>粤V913D0</t>
  </si>
  <si>
    <t>粤MS2183</t>
  </si>
  <si>
    <t>粤VZ6586</t>
  </si>
  <si>
    <t>粤VQW072</t>
  </si>
  <si>
    <t>粤VQ8931</t>
  </si>
  <si>
    <t>粤VS5738</t>
  </si>
  <si>
    <t>粤V5K938</t>
  </si>
  <si>
    <t>粤V829U2</t>
  </si>
  <si>
    <t>赣M12207</t>
  </si>
  <si>
    <t>粤V5179D</t>
  </si>
  <si>
    <t>粤V1805K</t>
  </si>
  <si>
    <t>赣C8M788</t>
  </si>
  <si>
    <t>皖LH6186</t>
  </si>
  <si>
    <t>粤VN2691</t>
  </si>
  <si>
    <t>粤VN2495</t>
  </si>
  <si>
    <t>赣C5M101</t>
  </si>
  <si>
    <t>粤VAH099</t>
  </si>
  <si>
    <t>粤VV2273</t>
  </si>
  <si>
    <t>粤VW8769</t>
  </si>
  <si>
    <t>粤VN3920</t>
  </si>
  <si>
    <t xml:space="preserve">粤VAH099    </t>
  </si>
  <si>
    <t xml:space="preserve">赣K96093    </t>
  </si>
  <si>
    <t xml:space="preserve">粤VN3920    </t>
  </si>
  <si>
    <t xml:space="preserve">粤VW8769    </t>
  </si>
  <si>
    <t xml:space="preserve">粤V913D0    </t>
  </si>
  <si>
    <t xml:space="preserve">赣M12207    </t>
  </si>
  <si>
    <t xml:space="preserve">粤VS5738    </t>
  </si>
  <si>
    <t xml:space="preserve">粤V6V115    </t>
  </si>
  <si>
    <t xml:space="preserve">粤V829U2    </t>
  </si>
  <si>
    <t xml:space="preserve">粤V5179D    </t>
  </si>
  <si>
    <t xml:space="preserve">粤V1805K    </t>
  </si>
  <si>
    <t xml:space="preserve">粤VQ8931    </t>
  </si>
  <si>
    <t xml:space="preserve">粤V5K938    </t>
  </si>
  <si>
    <t xml:space="preserve">粤VQW072    </t>
  </si>
  <si>
    <t xml:space="preserve">赣C5M101    </t>
  </si>
  <si>
    <t xml:space="preserve">粤VV2273    </t>
  </si>
  <si>
    <t>标胜</t>
  </si>
  <si>
    <t>粤D056K1</t>
  </si>
  <si>
    <t>粤D21318</t>
  </si>
  <si>
    <t>粤MY3522</t>
  </si>
  <si>
    <t>粤D3169M</t>
  </si>
  <si>
    <t>灿林</t>
  </si>
  <si>
    <t>桂P55530</t>
  </si>
  <si>
    <t>粤V197F5</t>
  </si>
  <si>
    <t>粤V692C5</t>
  </si>
  <si>
    <t>粤V763F6</t>
  </si>
  <si>
    <t>桂P00281</t>
  </si>
  <si>
    <t xml:space="preserve">粤V763F6    </t>
  </si>
  <si>
    <t xml:space="preserve">桂P55530    </t>
  </si>
  <si>
    <t xml:space="preserve">桂P00281    </t>
  </si>
  <si>
    <t xml:space="preserve">粤V692C5    </t>
  </si>
  <si>
    <t>葫芦车队</t>
  </si>
  <si>
    <t>赣M32396</t>
  </si>
  <si>
    <t>粤BGC255</t>
  </si>
  <si>
    <t>赣M95300</t>
  </si>
  <si>
    <t>赣AM0017</t>
  </si>
  <si>
    <t>赣M68158</t>
  </si>
  <si>
    <t>赣M69808</t>
  </si>
  <si>
    <t>广大车队</t>
  </si>
  <si>
    <t>粤VH6928</t>
  </si>
  <si>
    <t>粤V59565</t>
  </si>
  <si>
    <t>粤V05688</t>
  </si>
  <si>
    <t>粤VZ5876</t>
  </si>
  <si>
    <t>赣CN2832</t>
  </si>
  <si>
    <t>赣CN6362就是（赣CN6326）</t>
  </si>
  <si>
    <t>粤VA5288</t>
  </si>
  <si>
    <t>粤V89116</t>
  </si>
  <si>
    <t>赣K61863</t>
  </si>
  <si>
    <t>赣CN6326</t>
  </si>
  <si>
    <t>粤VB8152</t>
  </si>
  <si>
    <t>粤V13713</t>
  </si>
  <si>
    <t>粤MA3572</t>
  </si>
  <si>
    <t>赣C1M572</t>
  </si>
  <si>
    <t>粤VN6192</t>
  </si>
  <si>
    <t xml:space="preserve">赣C1M572    </t>
  </si>
  <si>
    <t xml:space="preserve">粤VH6928    </t>
  </si>
  <si>
    <t xml:space="preserve">粤V59565    </t>
  </si>
  <si>
    <t xml:space="preserve">赣CN2832    </t>
  </si>
  <si>
    <t>赣CN6362</t>
  </si>
  <si>
    <t>燕姐车队</t>
  </si>
  <si>
    <t>粤V510F2</t>
  </si>
  <si>
    <t>粤V591G8</t>
  </si>
  <si>
    <t>粤VQ5721</t>
  </si>
  <si>
    <t>粤VL8309</t>
  </si>
  <si>
    <t>粤VH9182</t>
  </si>
  <si>
    <t>粤VUC963</t>
  </si>
  <si>
    <t xml:space="preserve">粤V591G8    </t>
  </si>
  <si>
    <t xml:space="preserve">粤V510F2    </t>
  </si>
  <si>
    <t xml:space="preserve">粤VL8309    </t>
  </si>
  <si>
    <t xml:space="preserve">粤VH9182    </t>
  </si>
  <si>
    <t xml:space="preserve">粤VUC963    </t>
  </si>
  <si>
    <t xml:space="preserve">粤VQ5721    </t>
  </si>
  <si>
    <t>杰兄车队</t>
  </si>
  <si>
    <t>粤VV1046</t>
  </si>
  <si>
    <t>粤V62075</t>
  </si>
  <si>
    <t>豫LN3539</t>
  </si>
  <si>
    <t>赣C3F188</t>
  </si>
  <si>
    <t xml:space="preserve">赣C3F188    </t>
  </si>
  <si>
    <t xml:space="preserve">豫LN3539    </t>
  </si>
  <si>
    <t>普宁中通快运</t>
  </si>
  <si>
    <t>粤VTY783</t>
  </si>
  <si>
    <t>粤DNP201</t>
  </si>
  <si>
    <t>粤DQV162</t>
  </si>
  <si>
    <t xml:space="preserve">粤VTY783    </t>
  </si>
  <si>
    <t xml:space="preserve">粤DNP201    </t>
  </si>
  <si>
    <t>伟彦车队</t>
  </si>
  <si>
    <t>粤V05706</t>
  </si>
  <si>
    <t>赣C8M199</t>
  </si>
  <si>
    <t>赣FD3778</t>
  </si>
  <si>
    <t>赣C6M785</t>
  </si>
  <si>
    <t>粤V38898</t>
  </si>
  <si>
    <t>粤VN2612</t>
  </si>
  <si>
    <t>粤VU6120</t>
  </si>
  <si>
    <t>赣CT4166</t>
  </si>
  <si>
    <t>赣CQ5137</t>
  </si>
  <si>
    <t>赣C2P305</t>
  </si>
  <si>
    <t>赣C33883</t>
  </si>
  <si>
    <t>粤VV9213</t>
  </si>
  <si>
    <t>粤V64282</t>
  </si>
  <si>
    <t xml:space="preserve">赣CT4166    </t>
  </si>
  <si>
    <t xml:space="preserve">赣C33883    </t>
  </si>
  <si>
    <t xml:space="preserve">赣C6M785    </t>
  </si>
  <si>
    <t xml:space="preserve">粤VN2612    </t>
  </si>
  <si>
    <t>阳江车队</t>
  </si>
  <si>
    <t>车号</t>
  </si>
  <si>
    <t>豫PJ7893</t>
  </si>
  <si>
    <t>豫PR0319</t>
  </si>
  <si>
    <t>豫PM5385</t>
  </si>
  <si>
    <t>豫NE0896</t>
  </si>
  <si>
    <t>豫PV7029</t>
  </si>
  <si>
    <t>豫PK1230</t>
  </si>
  <si>
    <t>豫LL9613</t>
  </si>
  <si>
    <t>豫PY7588</t>
  </si>
  <si>
    <t>豫D3E82挂</t>
  </si>
  <si>
    <t>豫PR5898</t>
  </si>
  <si>
    <t>粤DR0325</t>
  </si>
  <si>
    <t xml:space="preserve">豫NE0896    </t>
  </si>
  <si>
    <t xml:space="preserve">豫PM5385    </t>
  </si>
  <si>
    <t>陈洁治</t>
  </si>
  <si>
    <t>粤D78823</t>
  </si>
  <si>
    <t>粤D15896</t>
  </si>
  <si>
    <t>粤D18025</t>
  </si>
  <si>
    <t>粤D20700</t>
  </si>
  <si>
    <t>粤D68607</t>
  </si>
  <si>
    <t>粤D24532</t>
  </si>
  <si>
    <t>玉亮散户</t>
  </si>
  <si>
    <t>机动</t>
  </si>
  <si>
    <t>粤V9062挂</t>
  </si>
  <si>
    <t>粤V8015挂</t>
  </si>
  <si>
    <t>粤V1855挂</t>
  </si>
  <si>
    <t>粤V6921挂</t>
  </si>
  <si>
    <t>粤V5383挂</t>
  </si>
  <si>
    <t>赣C8803X</t>
  </si>
  <si>
    <t>赣C3690D</t>
  </si>
  <si>
    <t>赣CAA609</t>
  </si>
  <si>
    <t>赣C3632D</t>
  </si>
  <si>
    <t>赣C3631D</t>
  </si>
  <si>
    <t>赣CCF153</t>
  </si>
  <si>
    <t>赣CBA782</t>
  </si>
  <si>
    <t>赣C7876X</t>
  </si>
  <si>
    <t>赣C6305X</t>
  </si>
  <si>
    <t>赣CC7485</t>
  </si>
  <si>
    <t>赣C5771X</t>
  </si>
  <si>
    <t>赣C3389D</t>
  </si>
  <si>
    <t>赣M56992</t>
  </si>
  <si>
    <t>粤VN2395</t>
  </si>
  <si>
    <t>粤VG3523</t>
  </si>
  <si>
    <t>粤VJ4386</t>
  </si>
  <si>
    <t>粤VNF918</t>
  </si>
  <si>
    <t>粤VP1434</t>
  </si>
  <si>
    <t>赣M13300</t>
  </si>
  <si>
    <t>赣M22526</t>
  </si>
  <si>
    <t>赣M29965</t>
  </si>
  <si>
    <t>赣A76585</t>
  </si>
  <si>
    <t>赣M75987</t>
  </si>
  <si>
    <t>赣AE5681</t>
  </si>
  <si>
    <t>赣AP9395</t>
  </si>
  <si>
    <t>赣M12215</t>
  </si>
  <si>
    <t>赣AQ1359</t>
  </si>
  <si>
    <t>赣A79551</t>
  </si>
  <si>
    <t>粤UU7192</t>
  </si>
  <si>
    <t>皖CC0859</t>
  </si>
  <si>
    <t>赣AK9528</t>
  </si>
  <si>
    <t>赣A18033</t>
  </si>
  <si>
    <t>赣M89207</t>
  </si>
  <si>
    <t>赣M75596</t>
  </si>
  <si>
    <t>赣AM0706</t>
  </si>
  <si>
    <t>云AP7151</t>
  </si>
  <si>
    <t>s</t>
  </si>
  <si>
    <t>快递兄弟</t>
  </si>
  <si>
    <t>粤V7Q601</t>
  </si>
  <si>
    <t>粤A89KG0</t>
  </si>
  <si>
    <t>粤ABZ619</t>
  </si>
  <si>
    <t>粤BLC651</t>
  </si>
  <si>
    <t>粤BMJ270</t>
  </si>
  <si>
    <t>粤ADL651</t>
  </si>
  <si>
    <t>粤AJK235</t>
  </si>
  <si>
    <t>粤AFC987</t>
  </si>
  <si>
    <t>粤AKJ366</t>
  </si>
  <si>
    <t>粤ACQ649</t>
  </si>
  <si>
    <t>粤BKM787</t>
  </si>
  <si>
    <t>赣FD0010</t>
  </si>
  <si>
    <t>赣A11289</t>
  </si>
  <si>
    <t>赣CAY593</t>
  </si>
  <si>
    <t>粤BFE684</t>
  </si>
  <si>
    <t>粤AFP226</t>
  </si>
  <si>
    <t>皖SB5581</t>
  </si>
  <si>
    <t>粤ADQ017</t>
  </si>
  <si>
    <t>粤VW1235</t>
  </si>
  <si>
    <t>粤ACJ903</t>
  </si>
  <si>
    <t xml:space="preserve">粤AKJ366    </t>
  </si>
  <si>
    <t xml:space="preserve">皖SB5581    </t>
  </si>
  <si>
    <t xml:space="preserve">粤ADQ017    </t>
  </si>
  <si>
    <t xml:space="preserve">粤AFP226    </t>
  </si>
  <si>
    <t xml:space="preserve">粤AFC987    </t>
  </si>
  <si>
    <t xml:space="preserve">粤ADL651    </t>
  </si>
  <si>
    <t xml:space="preserve">粤ACQ649    </t>
  </si>
  <si>
    <t xml:space="preserve">粤AJK235    </t>
  </si>
  <si>
    <t xml:space="preserve">粤VW1235    </t>
  </si>
  <si>
    <t>顺达车队</t>
  </si>
  <si>
    <t>粤VH9031</t>
  </si>
  <si>
    <t>粤V05216</t>
  </si>
  <si>
    <t>粤VM9409</t>
  </si>
  <si>
    <t>赣C3897D</t>
  </si>
  <si>
    <t>粤V62021</t>
  </si>
  <si>
    <t>粤V27325</t>
  </si>
  <si>
    <t>粤VS1096</t>
  </si>
  <si>
    <t>粤VR3356</t>
  </si>
  <si>
    <t>赣C2892D</t>
  </si>
  <si>
    <t xml:space="preserve">粤V62021    </t>
  </si>
  <si>
    <t xml:space="preserve">赣C2892D    </t>
  </si>
  <si>
    <t xml:space="preserve">赣C3897D    </t>
  </si>
  <si>
    <t xml:space="preserve">粤VM9409    </t>
  </si>
  <si>
    <t xml:space="preserve">粤V05216    </t>
  </si>
  <si>
    <t xml:space="preserve">粤V27325    </t>
  </si>
  <si>
    <t xml:space="preserve">粤VH9031    </t>
  </si>
  <si>
    <t xml:space="preserve">粤VR3356    </t>
  </si>
  <si>
    <t>顺达老同</t>
  </si>
  <si>
    <t>粤V03880</t>
  </si>
  <si>
    <t>皖SF3518</t>
  </si>
  <si>
    <t>粤VN3300</t>
  </si>
  <si>
    <t>赣C2359D</t>
  </si>
  <si>
    <t xml:space="preserve">赣C2359D    </t>
  </si>
  <si>
    <t>德邦物流</t>
  </si>
  <si>
    <t>粤V979F8</t>
  </si>
  <si>
    <t>粤VJF787</t>
  </si>
  <si>
    <t>粤V257R6</t>
  </si>
  <si>
    <t>粤VQ8539</t>
  </si>
  <si>
    <t>粤DD102W</t>
  </si>
  <si>
    <t>粤DD623R</t>
  </si>
  <si>
    <t>粤D598U1</t>
  </si>
  <si>
    <t>粤D0982C</t>
  </si>
  <si>
    <t>赣F8U275</t>
  </si>
  <si>
    <t>粤D18393</t>
  </si>
  <si>
    <t>粤VBW931</t>
  </si>
  <si>
    <t>粤VDR830</t>
  </si>
  <si>
    <t>粤VC6932</t>
  </si>
  <si>
    <t>粤D6U358</t>
  </si>
  <si>
    <t>粤DB670B</t>
  </si>
  <si>
    <t>粤D911Q3</t>
  </si>
  <si>
    <t>粤DF719J</t>
  </si>
  <si>
    <t xml:space="preserve">粤V979F8    </t>
  </si>
  <si>
    <t xml:space="preserve">粤D598U1    </t>
  </si>
  <si>
    <t xml:space="preserve">粤D911Q3    </t>
  </si>
  <si>
    <t xml:space="preserve">粤DF719J    </t>
  </si>
  <si>
    <t xml:space="preserve">粤VDR830    </t>
  </si>
  <si>
    <t xml:space="preserve">粤DB670B    </t>
  </si>
  <si>
    <t xml:space="preserve">粤V257R6    </t>
  </si>
  <si>
    <t xml:space="preserve">粤D0982C    </t>
  </si>
  <si>
    <t xml:space="preserve">粤D6U358    </t>
  </si>
  <si>
    <t xml:space="preserve">粤DD623R    </t>
  </si>
  <si>
    <t xml:space="preserve">粤DD102W    </t>
  </si>
  <si>
    <t xml:space="preserve">粤VC6932    </t>
  </si>
  <si>
    <t xml:space="preserve">粤VJF787    </t>
  </si>
  <si>
    <t xml:space="preserve">赣F8U275    </t>
  </si>
  <si>
    <t>万家物流</t>
  </si>
  <si>
    <t>粤V98689</t>
  </si>
  <si>
    <t>粤VX6670</t>
  </si>
  <si>
    <t>粤V1088B</t>
  </si>
  <si>
    <t>粤VN3842</t>
  </si>
  <si>
    <t>粤VM8760</t>
  </si>
  <si>
    <t>粤VN3731</t>
  </si>
  <si>
    <t>粤USZ732</t>
  </si>
  <si>
    <t>湘MYX308</t>
  </si>
  <si>
    <t>粤D2193T</t>
  </si>
  <si>
    <t>闽EK5739</t>
  </si>
  <si>
    <t xml:space="preserve">粤D2193T    </t>
  </si>
  <si>
    <t xml:space="preserve">粤VM8760    </t>
  </si>
  <si>
    <t xml:space="preserve">粤VX6670    </t>
  </si>
  <si>
    <t xml:space="preserve">粤VN3842    </t>
  </si>
  <si>
    <t xml:space="preserve">湘MYX308    </t>
  </si>
  <si>
    <t xml:space="preserve">粤V1088B    </t>
  </si>
  <si>
    <t xml:space="preserve">粤V98689    </t>
  </si>
  <si>
    <t xml:space="preserve">粤VN3731    </t>
  </si>
  <si>
    <t>地都土车</t>
  </si>
  <si>
    <t>赣K91156</t>
  </si>
  <si>
    <t>赣K96889</t>
  </si>
  <si>
    <t>赣K90760</t>
  </si>
  <si>
    <t>鄂S277B2</t>
  </si>
  <si>
    <t>渝DN0872</t>
  </si>
  <si>
    <t>粤DE853H</t>
  </si>
  <si>
    <t xml:space="preserve">赣K91156    </t>
  </si>
  <si>
    <t xml:space="preserve">赣K90760    </t>
  </si>
  <si>
    <t xml:space="preserve">鄂S277B2    </t>
  </si>
  <si>
    <t>陈店土车</t>
  </si>
  <si>
    <t>粤N12662</t>
  </si>
  <si>
    <t>赣KA2123</t>
  </si>
  <si>
    <t>赣K62008</t>
  </si>
  <si>
    <t>赣K61097</t>
  </si>
  <si>
    <t>赣K85298</t>
  </si>
  <si>
    <t>赣K16896</t>
  </si>
  <si>
    <t>粤VC7032</t>
  </si>
  <si>
    <t xml:space="preserve">赣K16896    </t>
  </si>
  <si>
    <t xml:space="preserve">赣K85298    </t>
  </si>
  <si>
    <t xml:space="preserve">赣K62008    </t>
  </si>
  <si>
    <t xml:space="preserve">粤N12662    </t>
  </si>
  <si>
    <t xml:space="preserve">赣KA2123    </t>
  </si>
  <si>
    <t>云路土车</t>
  </si>
  <si>
    <t>粤UU6233</t>
  </si>
  <si>
    <t>赣C2296D</t>
  </si>
  <si>
    <t>湘ER0378</t>
  </si>
  <si>
    <t>泥浆叔</t>
  </si>
  <si>
    <t>粤VW0955</t>
  </si>
  <si>
    <t>粤VK2252</t>
  </si>
  <si>
    <t>粤V24628</t>
  </si>
  <si>
    <t>粤VA8585</t>
  </si>
  <si>
    <t>粤VJ1269</t>
  </si>
  <si>
    <t>粤VE3905</t>
  </si>
  <si>
    <t>闽FC1636</t>
  </si>
  <si>
    <t>粤VB6549</t>
  </si>
  <si>
    <t>粤V02572</t>
  </si>
  <si>
    <t>粤VX6757</t>
  </si>
  <si>
    <t>粤MY8211</t>
  </si>
  <si>
    <t>粤V37282</t>
  </si>
  <si>
    <t>粤VC2610</t>
  </si>
  <si>
    <t>粤VX6523</t>
  </si>
  <si>
    <t>粤VV7982</t>
  </si>
  <si>
    <t>粤V60035</t>
  </si>
  <si>
    <t xml:space="preserve">粤V60035    </t>
  </si>
  <si>
    <t xml:space="preserve">粤MY8211    </t>
  </si>
  <si>
    <t xml:space="preserve">粤V02572    </t>
  </si>
  <si>
    <t xml:space="preserve">粤VW0955    </t>
  </si>
  <si>
    <t xml:space="preserve">粤VC2610    </t>
  </si>
  <si>
    <t xml:space="preserve">粤VX6757    </t>
  </si>
  <si>
    <t xml:space="preserve">粤VJ1269    </t>
  </si>
  <si>
    <t xml:space="preserve">粤V37282    </t>
  </si>
  <si>
    <t xml:space="preserve">粤VV7982    </t>
  </si>
  <si>
    <t xml:space="preserve">粤VE3905    </t>
  </si>
  <si>
    <t xml:space="preserve">闽FC1636    </t>
  </si>
  <si>
    <t xml:space="preserve">粤VB6549    </t>
  </si>
  <si>
    <t>吊车大巴</t>
  </si>
  <si>
    <t>粤VV8785</t>
  </si>
  <si>
    <t>粤V28395</t>
  </si>
  <si>
    <t>粤V03056</t>
  </si>
  <si>
    <t>粤VR4233</t>
  </si>
  <si>
    <t>粤V68489</t>
  </si>
  <si>
    <t>粤V03612</t>
  </si>
  <si>
    <t>粤VT8968</t>
  </si>
  <si>
    <t>粤V89111</t>
  </si>
  <si>
    <t>粤V99019</t>
  </si>
  <si>
    <t>粤D88434</t>
  </si>
  <si>
    <t>粤VM0129</t>
  </si>
  <si>
    <t>粤VY5715</t>
  </si>
  <si>
    <t>粤VG9659</t>
  </si>
  <si>
    <t>粤VD6955</t>
  </si>
  <si>
    <t>粤VT6648</t>
  </si>
  <si>
    <t>粤VA8711</t>
  </si>
  <si>
    <t>粤V97339</t>
  </si>
  <si>
    <t>粤VV0871</t>
  </si>
  <si>
    <t>粤VF6831</t>
  </si>
  <si>
    <t>桂E27128</t>
  </si>
  <si>
    <t>粤BDV443</t>
  </si>
  <si>
    <t>粤VPH261</t>
  </si>
  <si>
    <t>粤VR6232</t>
  </si>
  <si>
    <t>粤VG5648</t>
  </si>
  <si>
    <t>粤VN0683</t>
  </si>
  <si>
    <t>赣FB1372</t>
  </si>
  <si>
    <t>粤VR5076</t>
  </si>
  <si>
    <t>粤VR5789</t>
  </si>
  <si>
    <t>粤VU0576</t>
  </si>
  <si>
    <t>粤VF3013</t>
  </si>
  <si>
    <t>粤VR3016</t>
  </si>
  <si>
    <t>粤V02135</t>
  </si>
  <si>
    <t>粤D52N31</t>
  </si>
  <si>
    <t>粤VNV905</t>
  </si>
  <si>
    <t>粤VNM955</t>
  </si>
  <si>
    <t>粤V27S00</t>
  </si>
  <si>
    <t>赣CBM909</t>
  </si>
  <si>
    <t>粤VR5212</t>
  </si>
  <si>
    <t>粤VMJ276</t>
  </si>
  <si>
    <t>粤V21X63</t>
  </si>
  <si>
    <t>粤V74118</t>
  </si>
  <si>
    <t>粤VQ8208</t>
  </si>
  <si>
    <t xml:space="preserve">粤VM0129    </t>
  </si>
  <si>
    <t xml:space="preserve">粤V27S00    </t>
  </si>
  <si>
    <t xml:space="preserve">粤VNV905    </t>
  </si>
  <si>
    <t xml:space="preserve">桂E27128    </t>
  </si>
  <si>
    <t xml:space="preserve">粤VR3016    </t>
  </si>
  <si>
    <t xml:space="preserve">粤V97339    </t>
  </si>
  <si>
    <t xml:space="preserve">粤VG5648    </t>
  </si>
  <si>
    <t xml:space="preserve">粤VV8785    </t>
  </si>
  <si>
    <t xml:space="preserve">粤D52N31    </t>
  </si>
  <si>
    <t xml:space="preserve">粤D88434    </t>
  </si>
  <si>
    <t xml:space="preserve">粤V03056    </t>
  </si>
  <si>
    <t xml:space="preserve">粤VMJ276    </t>
  </si>
  <si>
    <t xml:space="preserve">粤V99019    </t>
  </si>
  <si>
    <t xml:space="preserve">粤VD6955    </t>
  </si>
  <si>
    <t xml:space="preserve">粤BDV443    </t>
  </si>
  <si>
    <t xml:space="preserve">粤V02135    </t>
  </si>
  <si>
    <t xml:space="preserve">粤V03612    </t>
  </si>
  <si>
    <t xml:space="preserve">粤V68489    </t>
  </si>
  <si>
    <t xml:space="preserve">粤VV0871    </t>
  </si>
  <si>
    <t xml:space="preserve">赣CBM909    </t>
  </si>
  <si>
    <t xml:space="preserve">粤VPH261    </t>
  </si>
  <si>
    <t xml:space="preserve">粤V74118    </t>
  </si>
  <si>
    <t xml:space="preserve">粤VR4233    </t>
  </si>
  <si>
    <t xml:space="preserve">粤VR5789    </t>
  </si>
  <si>
    <t xml:space="preserve">粤VNM955    </t>
  </si>
  <si>
    <t xml:space="preserve">粤VY5715    </t>
  </si>
  <si>
    <t xml:space="preserve">粤V89111    </t>
  </si>
  <si>
    <t xml:space="preserve">粤VT8968    </t>
  </si>
  <si>
    <t>海大车队</t>
  </si>
  <si>
    <t>粤V9Q332</t>
  </si>
  <si>
    <t>粤V2M625</t>
  </si>
  <si>
    <t>粤VZA550</t>
  </si>
  <si>
    <t>粤D072F9</t>
  </si>
  <si>
    <t>粤V76689</t>
  </si>
  <si>
    <t>粤V6P518</t>
  </si>
  <si>
    <t>闽EK6271</t>
  </si>
  <si>
    <t xml:space="preserve">粤V76689    </t>
  </si>
  <si>
    <t xml:space="preserve">粤V9Q332    </t>
  </si>
  <si>
    <t xml:space="preserve">粤V6P518    </t>
  </si>
  <si>
    <t xml:space="preserve">闽EK6271    </t>
  </si>
  <si>
    <t xml:space="preserve">粤V2M625    </t>
  </si>
  <si>
    <t>玉浦车队</t>
  </si>
  <si>
    <t>粤V02H51</t>
  </si>
  <si>
    <t>粤VTP983</t>
  </si>
  <si>
    <t>粤V62M93</t>
  </si>
  <si>
    <t>粤V9U712</t>
  </si>
  <si>
    <t>粤V91280</t>
  </si>
  <si>
    <t>粤VND073</t>
  </si>
  <si>
    <t xml:space="preserve">粤V62M93    </t>
  </si>
  <si>
    <t>宾驰散户</t>
  </si>
  <si>
    <t>赣BP8206</t>
  </si>
  <si>
    <t>地都代卖</t>
  </si>
  <si>
    <t>200升以上5.8，200升以下5.85</t>
  </si>
  <si>
    <t>粤VC5817</t>
  </si>
  <si>
    <t>粤VY9799</t>
  </si>
  <si>
    <t>粤V01S73</t>
  </si>
  <si>
    <t>粤VN3555</t>
  </si>
  <si>
    <t>赣CBH096</t>
  </si>
  <si>
    <t>赣C9481X</t>
  </si>
  <si>
    <t>仙桥代卖</t>
  </si>
  <si>
    <t>粤D11292</t>
  </si>
  <si>
    <t>赣CCL432</t>
  </si>
  <si>
    <t>粤V5797挂</t>
  </si>
  <si>
    <t>粤MU9803</t>
  </si>
  <si>
    <t>粤MW0238</t>
  </si>
  <si>
    <t>粤M35329</t>
  </si>
  <si>
    <t>粤VW1689</t>
  </si>
  <si>
    <t>赣K89533</t>
  </si>
  <si>
    <t>粤VR3995</t>
  </si>
  <si>
    <t>粤U51320</t>
  </si>
  <si>
    <t>粤VF6995</t>
  </si>
  <si>
    <t>粤V93E12</t>
  </si>
  <si>
    <t>粤VCN561</t>
  </si>
  <si>
    <t xml:space="preserve">赣K89533    </t>
  </si>
  <si>
    <t xml:space="preserve">粤VW1689    </t>
  </si>
  <si>
    <t xml:space="preserve">粤VCN561    </t>
  </si>
  <si>
    <t>生隆代刷卡</t>
  </si>
  <si>
    <t>粤VX3353</t>
  </si>
  <si>
    <t>鄂FGF830</t>
  </si>
  <si>
    <t>粤V770E3</t>
  </si>
  <si>
    <t>粤VV2250</t>
  </si>
  <si>
    <t>粤VX6720</t>
  </si>
  <si>
    <t>粤V08352</t>
  </si>
  <si>
    <t>粤VW1837</t>
  </si>
  <si>
    <t>粤VN9067</t>
  </si>
  <si>
    <t xml:space="preserve">粤VX3353    </t>
  </si>
  <si>
    <t>陈店代刷卡</t>
  </si>
  <si>
    <t>粤V08385</t>
  </si>
  <si>
    <t>粤VBN555</t>
  </si>
  <si>
    <t>赣C0929D</t>
  </si>
  <si>
    <t>粤MC0863</t>
  </si>
  <si>
    <t>粤V5J502</t>
  </si>
  <si>
    <t>鲁RL7970</t>
  </si>
  <si>
    <t>潮州代刷卡</t>
  </si>
  <si>
    <t>粤MR7711</t>
  </si>
  <si>
    <t>粤D96T48</t>
  </si>
  <si>
    <t>粤MQ5255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</si>
</sst>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  <numFmt numFmtId="179" formatCode="0.0_ "/>
  </numFmts>
  <fonts count="36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sz val="11"/>
      <name val="等线"/>
      <charset val="134"/>
      <scheme val="minor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FF0000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8" borderId="18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9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154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4" fontId="0" fillId="0" borderId="0" xfId="0" applyNumberFormat="1"/>
    <xf numFmtId="14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4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" fontId="0" fillId="0" borderId="1" xfId="0" applyNumberForma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0" xfId="0" applyNumberFormat="1"/>
    <xf numFmtId="177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top"/>
    </xf>
    <xf numFmtId="0" fontId="13" fillId="0" borderId="1" xfId="0" applyFont="1" applyBorder="1"/>
    <xf numFmtId="14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6" fillId="0" borderId="0" xfId="0" applyFont="1"/>
    <xf numFmtId="176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14" fontId="0" fillId="0" borderId="8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78" fontId="3" fillId="0" borderId="1" xfId="0" applyNumberFormat="1" applyFont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top"/>
    </xf>
    <xf numFmtId="176" fontId="15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top"/>
    </xf>
    <xf numFmtId="14" fontId="2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77" fontId="0" fillId="0" borderId="1" xfId="0" applyNumberFormat="1" applyBorder="1" applyAlignment="1">
      <alignment vertical="center"/>
    </xf>
    <xf numFmtId="178" fontId="10" fillId="0" borderId="1" xfId="0" applyNumberFormat="1" applyFont="1" applyBorder="1" applyAlignment="1">
      <alignment horizontal="center" vertical="top"/>
    </xf>
    <xf numFmtId="177" fontId="10" fillId="0" borderId="1" xfId="0" applyNumberFormat="1" applyFont="1" applyBorder="1" applyAlignment="1">
      <alignment horizontal="center" vertical="top"/>
    </xf>
    <xf numFmtId="176" fontId="10" fillId="0" borderId="1" xfId="0" applyNumberFormat="1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/>
    <xf numFmtId="177" fontId="7" fillId="0" borderId="1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4" fillId="0" borderId="0" xfId="0" applyFont="1"/>
    <xf numFmtId="176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176" fontId="12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vertical="center"/>
    </xf>
    <xf numFmtId="179" fontId="0" fillId="0" borderId="1" xfId="0" applyNumberFormat="1" applyBorder="1"/>
    <xf numFmtId="0" fontId="15" fillId="0" borderId="1" xfId="0" applyFont="1" applyBorder="1" applyAlignment="1">
      <alignment vertical="center"/>
    </xf>
    <xf numFmtId="176" fontId="12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9" xfId="0" applyBorder="1"/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0" fontId="0" fillId="4" borderId="0" xfId="0" applyFill="1"/>
    <xf numFmtId="14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178" fontId="0" fillId="0" borderId="1" xfId="0" applyNumberFormat="1" applyBorder="1" applyAlignment="1">
      <alignment vertical="center"/>
    </xf>
    <xf numFmtId="178" fontId="12" fillId="0" borderId="1" xfId="0" applyNumberFormat="1" applyFont="1" applyBorder="1" applyAlignment="1">
      <alignment vertical="center"/>
    </xf>
    <xf numFmtId="178" fontId="0" fillId="0" borderId="0" xfId="0" applyNumberFormat="1" applyAlignment="1">
      <alignment horizontal="center" vertical="center"/>
    </xf>
    <xf numFmtId="14" fontId="8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1" xfId="0" applyFill="1" applyBorder="1"/>
    <xf numFmtId="4" fontId="0" fillId="0" borderId="0" xfId="0" applyNumberFormat="1" applyAlignment="1">
      <alignment vertical="center"/>
    </xf>
    <xf numFmtId="4" fontId="10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176" fontId="0" fillId="0" borderId="1" xfId="0" applyNumberForma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13" fillId="0" borderId="0" xfId="0" applyFont="1"/>
    <xf numFmtId="0" fontId="16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7" fontId="0" fillId="0" borderId="0" xfId="0" applyNumberFormat="1"/>
    <xf numFmtId="0" fontId="10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eetMetadata" Target="metadata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opLeftCell="A5" workbookViewId="0">
      <selection activeCell="G37" sqref="G37"/>
    </sheetView>
  </sheetViews>
  <sheetFormatPr defaultColWidth="9" defaultRowHeight="14.25"/>
  <cols>
    <col min="1" max="1" width="9.73333333333333" customWidth="1"/>
    <col min="2" max="2" width="10.8" customWidth="1"/>
  </cols>
  <sheetData>
    <row r="1" ht="18.75" spans="1:8">
      <c r="A1" s="148" t="s">
        <v>0</v>
      </c>
      <c r="B1" s="149" t="s">
        <v>1</v>
      </c>
      <c r="C1" s="150"/>
      <c r="D1" s="151"/>
      <c r="E1" s="27" t="s">
        <v>2</v>
      </c>
      <c r="F1" s="13"/>
      <c r="G1" s="13"/>
      <c r="H1" s="152"/>
    </row>
    <row r="2" spans="1:13">
      <c r="A2" s="72" t="s">
        <v>3</v>
      </c>
      <c r="B2" s="150" t="s">
        <v>4</v>
      </c>
      <c r="C2" s="151" t="s">
        <v>5</v>
      </c>
      <c r="D2" s="150" t="s">
        <v>6</v>
      </c>
      <c r="E2" s="153" t="s">
        <v>7</v>
      </c>
      <c r="F2" s="8"/>
      <c r="G2" s="150" t="s">
        <v>8</v>
      </c>
      <c r="H2" s="152"/>
      <c r="M2" t="str" cm="1">
        <f t="array" ref="M2:M37">_xlfn.TOCOL(B2:G7)</f>
        <v>粤VX2081</v>
      </c>
    </row>
    <row r="3" spans="1:13">
      <c r="A3" s="73"/>
      <c r="B3" s="150" t="s">
        <v>9</v>
      </c>
      <c r="C3" s="150" t="s">
        <v>10</v>
      </c>
      <c r="D3" s="150" t="s">
        <v>11</v>
      </c>
      <c r="F3" s="150" t="s">
        <v>12</v>
      </c>
      <c r="G3" s="150" t="s">
        <v>13</v>
      </c>
      <c r="H3" s="152"/>
      <c r="M3" t="str">
        <v>粤VX1739</v>
      </c>
    </row>
    <row r="4" spans="1:13">
      <c r="A4" s="73"/>
      <c r="B4" s="150" t="s">
        <v>14</v>
      </c>
      <c r="C4" s="151" t="s">
        <v>15</v>
      </c>
      <c r="D4" s="150" t="s">
        <v>16</v>
      </c>
      <c r="E4" s="150" t="s">
        <v>17</v>
      </c>
      <c r="F4" s="150" t="s">
        <v>18</v>
      </c>
      <c r="G4" s="151" t="s">
        <v>19</v>
      </c>
      <c r="H4" s="152"/>
      <c r="M4" t="str">
        <v>粤VN8296</v>
      </c>
    </row>
    <row r="5" spans="1:13">
      <c r="A5" s="73"/>
      <c r="B5" s="151" t="s">
        <v>20</v>
      </c>
      <c r="C5" s="151" t="s">
        <v>21</v>
      </c>
      <c r="D5" s="151" t="s">
        <v>22</v>
      </c>
      <c r="E5" s="151" t="s">
        <v>23</v>
      </c>
      <c r="F5" s="151" t="s">
        <v>24</v>
      </c>
      <c r="G5" s="13" t="s">
        <v>25</v>
      </c>
      <c r="H5" s="152"/>
      <c r="M5" t="str">
        <v>粤VR0563</v>
      </c>
    </row>
    <row r="6" spans="1:13">
      <c r="A6" s="73"/>
      <c r="B6" s="151" t="s">
        <v>26</v>
      </c>
      <c r="C6" s="153" t="s">
        <v>27</v>
      </c>
      <c r="D6" s="153" t="s">
        <v>28</v>
      </c>
      <c r="E6" s="150" t="s">
        <v>29</v>
      </c>
      <c r="F6" s="150" t="s">
        <v>30</v>
      </c>
      <c r="G6" s="13"/>
      <c r="H6" s="152"/>
      <c r="M6">
        <v>0</v>
      </c>
    </row>
    <row r="7" spans="1:13">
      <c r="A7" s="74"/>
      <c r="B7" s="153" t="s">
        <v>31</v>
      </c>
      <c r="C7" s="153" t="s">
        <v>32</v>
      </c>
      <c r="D7" s="153" t="s">
        <v>33</v>
      </c>
      <c r="E7" s="150" t="s">
        <v>34</v>
      </c>
      <c r="F7" s="150" t="s">
        <v>35</v>
      </c>
      <c r="G7" s="150"/>
      <c r="H7" s="152"/>
      <c r="M7" t="str">
        <v>粤VM7980</v>
      </c>
    </row>
    <row r="8" spans="8:13">
      <c r="H8" s="152"/>
      <c r="M8" t="str">
        <v>粤VN3451</v>
      </c>
    </row>
    <row r="9" spans="1:13">
      <c r="A9" s="17" t="s">
        <v>36</v>
      </c>
      <c r="B9" s="17" t="s">
        <v>37</v>
      </c>
      <c r="C9" s="17" t="s">
        <v>38</v>
      </c>
      <c r="D9" s="17" t="s">
        <v>39</v>
      </c>
      <c r="E9" s="17" t="s">
        <v>40</v>
      </c>
      <c r="F9" s="17" t="s">
        <v>41</v>
      </c>
      <c r="G9" s="17" t="s">
        <v>41</v>
      </c>
      <c r="H9" s="97" t="s">
        <v>41</v>
      </c>
      <c r="M9" t="str">
        <v>粤VQ2203</v>
      </c>
    </row>
    <row r="10" spans="1:13">
      <c r="A10" s="23">
        <v>45923</v>
      </c>
      <c r="B10" s="24" t="s">
        <v>42</v>
      </c>
      <c r="C10" s="24">
        <v>145</v>
      </c>
      <c r="D10" s="19" t="str">
        <f t="shared" ref="D10:D14" si="0">IF(C10&gt;=200,"5.75",IF(C10&lt;200,"5.95"))</f>
        <v>5.95</v>
      </c>
      <c r="E10" s="8">
        <f t="shared" ref="E10:E15" si="1">INT(C10*D10)</f>
        <v>862</v>
      </c>
      <c r="M10" t="str">
        <v>粤VY5201</v>
      </c>
    </row>
    <row r="11" spans="1:13">
      <c r="A11" s="23">
        <v>45923</v>
      </c>
      <c r="B11" s="24" t="s">
        <v>43</v>
      </c>
      <c r="C11" s="24">
        <v>61.8</v>
      </c>
      <c r="D11" s="19" t="str">
        <f t="shared" si="0"/>
        <v>5.95</v>
      </c>
      <c r="E11" s="8">
        <f t="shared" si="1"/>
        <v>367</v>
      </c>
      <c r="M11">
        <v>0</v>
      </c>
    </row>
    <row r="12" spans="1:13">
      <c r="A12" s="23">
        <v>45924</v>
      </c>
      <c r="B12" s="24" t="s">
        <v>44</v>
      </c>
      <c r="C12" s="24">
        <v>44.38</v>
      </c>
      <c r="D12" s="19" t="str">
        <f t="shared" si="0"/>
        <v>5.95</v>
      </c>
      <c r="E12" s="8">
        <f t="shared" si="1"/>
        <v>264</v>
      </c>
      <c r="M12" t="str">
        <v>粤VA7245</v>
      </c>
    </row>
    <row r="13" spans="1:13">
      <c r="A13" s="23">
        <v>45924</v>
      </c>
      <c r="B13" s="24" t="s">
        <v>45</v>
      </c>
      <c r="C13" s="24">
        <v>81.3</v>
      </c>
      <c r="D13" s="19" t="str">
        <f t="shared" si="0"/>
        <v>5.95</v>
      </c>
      <c r="E13" s="8">
        <f t="shared" si="1"/>
        <v>483</v>
      </c>
      <c r="M13" t="str">
        <v>赣C6653W</v>
      </c>
    </row>
    <row r="14" spans="1:13">
      <c r="A14" s="23">
        <v>45924</v>
      </c>
      <c r="B14" s="24" t="s">
        <v>46</v>
      </c>
      <c r="C14" s="24">
        <v>76.93</v>
      </c>
      <c r="D14" s="19" t="str">
        <f t="shared" si="0"/>
        <v>5.95</v>
      </c>
      <c r="E14" s="8">
        <f t="shared" si="1"/>
        <v>457</v>
      </c>
      <c r="M14" t="str">
        <v>粤MJ8298</v>
      </c>
    </row>
    <row r="15" spans="1:13">
      <c r="A15" s="23">
        <v>45926</v>
      </c>
      <c r="B15" s="24" t="s">
        <v>47</v>
      </c>
      <c r="C15" s="24">
        <v>120</v>
      </c>
      <c r="D15" s="19" t="str">
        <f>IF(C15&gt;=200,"5.85",IF(C15&lt;200,"5.95"))</f>
        <v>5.95</v>
      </c>
      <c r="E15" s="8">
        <f t="shared" si="1"/>
        <v>714</v>
      </c>
      <c r="M15" t="str">
        <v>粤VV2703</v>
      </c>
    </row>
    <row r="16" spans="1:13">
      <c r="A16" s="23">
        <v>45926</v>
      </c>
      <c r="B16" s="24" t="s">
        <v>48</v>
      </c>
      <c r="C16" s="24">
        <v>63.55</v>
      </c>
      <c r="D16" s="19" t="str">
        <f t="shared" ref="D16:D23" si="2">IF(C16&gt;=200,"5.85",IF(C16&lt;200,"5.95"))</f>
        <v>5.95</v>
      </c>
      <c r="E16" s="8">
        <f t="shared" ref="E16:E23" si="3">INT(C16*D16)</f>
        <v>378</v>
      </c>
      <c r="M16" t="str">
        <v>赣D96798</v>
      </c>
    </row>
    <row r="17" spans="1:13">
      <c r="A17" s="23">
        <v>45926</v>
      </c>
      <c r="B17" s="24" t="s">
        <v>49</v>
      </c>
      <c r="C17" s="24">
        <v>114.06</v>
      </c>
      <c r="D17" s="19" t="str">
        <f t="shared" si="2"/>
        <v>5.95</v>
      </c>
      <c r="E17" s="8">
        <f t="shared" si="3"/>
        <v>678</v>
      </c>
      <c r="M17" t="str">
        <v>粤VD4137</v>
      </c>
    </row>
    <row r="18" spans="1:13">
      <c r="A18" s="23">
        <v>45927</v>
      </c>
      <c r="B18" s="24" t="s">
        <v>50</v>
      </c>
      <c r="C18" s="24">
        <v>122.79</v>
      </c>
      <c r="D18" s="19" t="str">
        <f t="shared" si="2"/>
        <v>5.95</v>
      </c>
      <c r="E18" s="8">
        <f t="shared" si="3"/>
        <v>730</v>
      </c>
      <c r="M18" t="str">
        <v>粤VL1702</v>
      </c>
    </row>
    <row r="19" spans="1:13">
      <c r="A19" s="23">
        <v>45927</v>
      </c>
      <c r="B19" s="24" t="s">
        <v>51</v>
      </c>
      <c r="C19" s="24">
        <v>115</v>
      </c>
      <c r="D19" s="19" t="str">
        <f t="shared" si="2"/>
        <v>5.95</v>
      </c>
      <c r="E19" s="8">
        <f t="shared" si="3"/>
        <v>684</v>
      </c>
      <c r="M19" t="str">
        <v>粤VS8482</v>
      </c>
    </row>
    <row r="20" spans="1:13">
      <c r="A20" s="23">
        <v>45927</v>
      </c>
      <c r="B20" s="24" t="s">
        <v>52</v>
      </c>
      <c r="C20" s="24">
        <v>88.47</v>
      </c>
      <c r="D20" s="19" t="str">
        <f t="shared" si="2"/>
        <v>5.95</v>
      </c>
      <c r="E20" s="8">
        <f t="shared" si="3"/>
        <v>526</v>
      </c>
      <c r="M20" t="str">
        <v>粤V34123</v>
      </c>
    </row>
    <row r="21" spans="1:13">
      <c r="A21" s="23">
        <v>45927</v>
      </c>
      <c r="B21" s="24" t="s">
        <v>53</v>
      </c>
      <c r="C21" s="24">
        <v>28.58</v>
      </c>
      <c r="D21" s="19" t="str">
        <f t="shared" si="2"/>
        <v>5.95</v>
      </c>
      <c r="E21" s="8">
        <f t="shared" si="3"/>
        <v>170</v>
      </c>
      <c r="M21" t="str">
        <v>粤VLK398</v>
      </c>
    </row>
    <row r="22" spans="1:13">
      <c r="A22" s="23">
        <v>45927</v>
      </c>
      <c r="B22" s="24" t="s">
        <v>54</v>
      </c>
      <c r="C22" s="24">
        <v>59.19</v>
      </c>
      <c r="D22" s="19" t="str">
        <f t="shared" si="2"/>
        <v>5.95</v>
      </c>
      <c r="E22" s="8">
        <f t="shared" si="3"/>
        <v>352</v>
      </c>
      <c r="M22" t="str">
        <v>粤VQ2850</v>
      </c>
    </row>
    <row r="23" s="128" customFormat="1" spans="1:13">
      <c r="A23" s="129">
        <v>45928</v>
      </c>
      <c r="B23" s="130" t="s">
        <v>55</v>
      </c>
      <c r="C23" s="130">
        <v>129</v>
      </c>
      <c r="D23" s="131" t="str">
        <f t="shared" si="2"/>
        <v>5.95</v>
      </c>
      <c r="E23" s="132">
        <f t="shared" si="3"/>
        <v>767</v>
      </c>
      <c r="M23" s="128" t="str">
        <v>粤V90897</v>
      </c>
    </row>
    <row r="24" s="128" customFormat="1" ht="11.25" customHeight="1" spans="1:13">
      <c r="A24" s="129"/>
      <c r="B24" s="130"/>
      <c r="C24" s="130"/>
      <c r="D24" s="131"/>
      <c r="E24" s="132"/>
      <c r="M24" s="128" t="str">
        <v>粤VQ4140</v>
      </c>
    </row>
    <row r="25" ht="12.85" customHeight="1" spans="1:13">
      <c r="A25" s="23">
        <v>45929</v>
      </c>
      <c r="B25" s="24" t="s">
        <v>56</v>
      </c>
      <c r="C25" s="24">
        <v>67.54</v>
      </c>
      <c r="D25" s="19" t="str">
        <f t="shared" ref="D25:D35" si="4">IF(C25&gt;=200,"5.85",IF(C25&lt;200,"5.95"))</f>
        <v>5.95</v>
      </c>
      <c r="E25" s="8">
        <f t="shared" ref="E25:E35" si="5">INT(C25*D25)</f>
        <v>401</v>
      </c>
      <c r="M25" t="str">
        <v>粤VUS125</v>
      </c>
    </row>
    <row r="26" spans="1:13">
      <c r="A26" s="23">
        <v>45929</v>
      </c>
      <c r="B26" s="24" t="s">
        <v>57</v>
      </c>
      <c r="C26" s="24">
        <v>50.75</v>
      </c>
      <c r="D26" s="19" t="str">
        <f t="shared" si="4"/>
        <v>5.95</v>
      </c>
      <c r="E26" s="8">
        <f t="shared" si="5"/>
        <v>301</v>
      </c>
      <c r="M26" t="str">
        <v>粤V55W71</v>
      </c>
    </row>
    <row r="27" spans="1:13">
      <c r="A27" s="23">
        <v>45929</v>
      </c>
      <c r="B27" s="24" t="s">
        <v>58</v>
      </c>
      <c r="C27" s="24">
        <v>272.01</v>
      </c>
      <c r="D27" s="19" t="str">
        <f t="shared" si="4"/>
        <v>5.85</v>
      </c>
      <c r="E27" s="8">
        <f t="shared" si="5"/>
        <v>1591</v>
      </c>
      <c r="M27" t="str">
        <v>粤V07U15</v>
      </c>
    </row>
    <row r="28" spans="1:13">
      <c r="A28" s="23">
        <v>45930</v>
      </c>
      <c r="B28" s="24" t="s">
        <v>50</v>
      </c>
      <c r="C28" s="24">
        <v>128.259</v>
      </c>
      <c r="D28" s="19" t="str">
        <f t="shared" si="4"/>
        <v>5.95</v>
      </c>
      <c r="E28" s="8">
        <f t="shared" si="5"/>
        <v>763</v>
      </c>
      <c r="M28" t="str">
        <v>粤V0Q999</v>
      </c>
    </row>
    <row r="29" spans="1:13">
      <c r="A29" s="23">
        <v>45930</v>
      </c>
      <c r="B29" s="24" t="s">
        <v>59</v>
      </c>
      <c r="C29" s="24">
        <v>90.76</v>
      </c>
      <c r="D29" s="19" t="str">
        <f t="shared" si="4"/>
        <v>5.95</v>
      </c>
      <c r="E29" s="8">
        <f t="shared" si="5"/>
        <v>540</v>
      </c>
      <c r="M29" t="str">
        <v>粤V6583D</v>
      </c>
    </row>
    <row r="30" spans="1:13">
      <c r="A30" s="23">
        <v>45930</v>
      </c>
      <c r="B30" s="24" t="s">
        <v>42</v>
      </c>
      <c r="C30" s="24">
        <v>166.46</v>
      </c>
      <c r="D30" s="19" t="str">
        <f t="shared" si="4"/>
        <v>5.95</v>
      </c>
      <c r="E30" s="8">
        <f t="shared" si="5"/>
        <v>990</v>
      </c>
      <c r="M30" t="str">
        <v>粤V82N55</v>
      </c>
    </row>
    <row r="31" spans="1:13">
      <c r="A31" s="23">
        <v>45931</v>
      </c>
      <c r="B31" s="24" t="s">
        <v>45</v>
      </c>
      <c r="C31" s="24">
        <v>69.31</v>
      </c>
      <c r="D31" s="19" t="str">
        <f t="shared" si="4"/>
        <v>5.95</v>
      </c>
      <c r="E31" s="8">
        <f t="shared" si="5"/>
        <v>412</v>
      </c>
      <c r="M31">
        <v>0</v>
      </c>
    </row>
    <row r="32" spans="1:13">
      <c r="A32" s="23">
        <v>45931</v>
      </c>
      <c r="B32" s="24" t="s">
        <v>47</v>
      </c>
      <c r="C32" s="24">
        <v>154</v>
      </c>
      <c r="D32" s="19" t="str">
        <f t="shared" si="4"/>
        <v>5.95</v>
      </c>
      <c r="E32" s="8">
        <f t="shared" si="5"/>
        <v>916</v>
      </c>
      <c r="M32" t="str">
        <v>粤V37731</v>
      </c>
    </row>
    <row r="33" spans="1:13">
      <c r="A33" s="23">
        <v>45931</v>
      </c>
      <c r="B33" s="24" t="s">
        <v>42</v>
      </c>
      <c r="C33" s="24">
        <v>130.32</v>
      </c>
      <c r="D33" s="19" t="str">
        <f t="shared" si="4"/>
        <v>5.95</v>
      </c>
      <c r="E33" s="8">
        <f t="shared" si="5"/>
        <v>775</v>
      </c>
      <c r="M33" t="str">
        <v>赣C1173Z</v>
      </c>
    </row>
    <row r="34" spans="1:13">
      <c r="A34" s="23">
        <v>45931</v>
      </c>
      <c r="B34" s="24" t="s">
        <v>51</v>
      </c>
      <c r="C34" s="24">
        <v>114</v>
      </c>
      <c r="D34" s="19" t="str">
        <f t="shared" si="4"/>
        <v>5.95</v>
      </c>
      <c r="E34" s="8">
        <f t="shared" si="5"/>
        <v>678</v>
      </c>
      <c r="M34" t="str">
        <v>粤UQ3507</v>
      </c>
    </row>
    <row r="35" spans="1:13">
      <c r="A35" s="23">
        <v>45931</v>
      </c>
      <c r="B35" s="24" t="s">
        <v>46</v>
      </c>
      <c r="C35" s="24">
        <v>45.59</v>
      </c>
      <c r="D35" s="19" t="str">
        <f t="shared" si="4"/>
        <v>5.95</v>
      </c>
      <c r="E35" s="8">
        <f t="shared" si="5"/>
        <v>271</v>
      </c>
      <c r="M35" t="str">
        <v>粤V62762</v>
      </c>
    </row>
    <row r="36" spans="1:13">
      <c r="A36" s="8"/>
      <c r="B36" s="8"/>
      <c r="C36" s="8"/>
      <c r="D36" s="19"/>
      <c r="E36" s="8"/>
      <c r="M36" t="str">
        <v>粤VW0056</v>
      </c>
    </row>
    <row r="37" spans="1:13">
      <c r="A37" s="23">
        <v>45932</v>
      </c>
      <c r="B37" s="24" t="s">
        <v>48</v>
      </c>
      <c r="C37" s="24">
        <v>110</v>
      </c>
      <c r="D37" s="19" t="str">
        <f t="shared" ref="D36:D42" si="6">IF(C37&gt;=200,"5.85",IF(C37&lt;200,"5.95"))</f>
        <v>5.95</v>
      </c>
      <c r="E37" s="8">
        <f t="shared" ref="E36:E42" si="7">INT(C37*D37)</f>
        <v>654</v>
      </c>
      <c r="M37">
        <v>0</v>
      </c>
    </row>
    <row r="38" spans="1:5">
      <c r="A38" s="23">
        <v>45933</v>
      </c>
      <c r="B38" s="24" t="s">
        <v>54</v>
      </c>
      <c r="C38" s="24">
        <v>65.36</v>
      </c>
      <c r="D38" s="19" t="str">
        <f t="shared" si="6"/>
        <v>5.95</v>
      </c>
      <c r="E38" s="8">
        <f t="shared" si="7"/>
        <v>388</v>
      </c>
    </row>
    <row r="39" spans="1:5">
      <c r="A39" s="23">
        <v>45933</v>
      </c>
      <c r="B39" s="24" t="s">
        <v>60</v>
      </c>
      <c r="C39" s="24">
        <v>163.77</v>
      </c>
      <c r="D39" s="19" t="str">
        <f t="shared" si="6"/>
        <v>5.95</v>
      </c>
      <c r="E39" s="8">
        <f t="shared" si="7"/>
        <v>974</v>
      </c>
    </row>
    <row r="40" spans="1:5">
      <c r="A40" s="23">
        <v>45933</v>
      </c>
      <c r="B40" s="24" t="s">
        <v>59</v>
      </c>
      <c r="C40" s="24">
        <v>52.64</v>
      </c>
      <c r="D40" s="19" t="str">
        <f t="shared" si="6"/>
        <v>5.95</v>
      </c>
      <c r="E40" s="8">
        <f t="shared" si="7"/>
        <v>313</v>
      </c>
    </row>
    <row r="41" spans="1:5">
      <c r="A41" s="23">
        <v>45933</v>
      </c>
      <c r="B41" s="24" t="s">
        <v>55</v>
      </c>
      <c r="C41" s="24">
        <v>123</v>
      </c>
      <c r="D41" s="19" t="str">
        <f t="shared" si="6"/>
        <v>5.95</v>
      </c>
      <c r="E41" s="8">
        <f t="shared" si="7"/>
        <v>731</v>
      </c>
    </row>
    <row r="42" spans="1:5">
      <c r="A42" s="23">
        <v>45933</v>
      </c>
      <c r="B42" s="24" t="s">
        <v>58</v>
      </c>
      <c r="C42" s="24">
        <v>179.08</v>
      </c>
      <c r="D42" s="19" t="str">
        <f t="shared" si="6"/>
        <v>5.95</v>
      </c>
      <c r="E42" s="8">
        <f t="shared" si="7"/>
        <v>1065</v>
      </c>
    </row>
  </sheetData>
  <mergeCells count="1">
    <mergeCell ref="A2:A7"/>
  </mergeCells>
  <conditionalFormatting sqref="A9:H9">
    <cfRule type="expression" dxfId="0" priority="1">
      <formula>$A10&lt;&gt;""</formula>
    </cfRule>
  </conditionalFormatting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21" sqref="E21"/>
    </sheetView>
  </sheetViews>
  <sheetFormatPr defaultColWidth="9" defaultRowHeight="14.25"/>
  <cols>
    <col min="1" max="1" width="10" customWidth="1"/>
  </cols>
  <sheetData>
    <row r="1" ht="22.5" spans="1:10">
      <c r="A1" s="37" t="s">
        <v>0</v>
      </c>
      <c r="B1" s="79" t="s">
        <v>61</v>
      </c>
      <c r="C1" s="145"/>
      <c r="D1" s="66"/>
      <c r="E1" s="27" t="s">
        <v>2</v>
      </c>
      <c r="F1" s="6"/>
      <c r="G1" s="7"/>
      <c r="J1" s="147"/>
    </row>
    <row r="2" spans="1:14">
      <c r="A2" s="8" t="s">
        <v>62</v>
      </c>
      <c r="B2" s="8" t="s">
        <v>63</v>
      </c>
      <c r="C2" s="13" t="s">
        <v>64</v>
      </c>
      <c r="D2" s="8" t="s">
        <v>65</v>
      </c>
      <c r="E2" s="8"/>
      <c r="F2" s="13"/>
      <c r="G2" s="13"/>
      <c r="J2" s="6" t="s">
        <v>66</v>
      </c>
      <c r="K2" s="8"/>
      <c r="N2" t="str" cm="1">
        <f t="array" ref="N2:N13">_xlfn.TOCOL(A2:D4)</f>
        <v>粤VQ6290</v>
      </c>
    </row>
    <row r="3" spans="1:14">
      <c r="A3" s="8" t="s">
        <v>67</v>
      </c>
      <c r="B3" s="8" t="s">
        <v>68</v>
      </c>
      <c r="C3" s="8" t="s">
        <v>69</v>
      </c>
      <c r="D3" s="8" t="s">
        <v>70</v>
      </c>
      <c r="E3" s="13"/>
      <c r="F3" s="13"/>
      <c r="G3" s="13"/>
      <c r="J3" s="8" t="s">
        <v>71</v>
      </c>
      <c r="K3" s="8"/>
      <c r="N3" t="str">
        <v>粤VAF892</v>
      </c>
    </row>
    <row r="4" spans="1:14">
      <c r="A4" s="8" t="s">
        <v>72</v>
      </c>
      <c r="B4" s="8" t="s">
        <v>73</v>
      </c>
      <c r="C4" s="121" t="s">
        <v>74</v>
      </c>
      <c r="D4" s="66" t="s">
        <v>75</v>
      </c>
      <c r="E4" s="13"/>
      <c r="F4" s="13"/>
      <c r="G4" s="13"/>
      <c r="N4" t="str">
        <v>赣CA1338</v>
      </c>
    </row>
    <row r="5" spans="1:14">
      <c r="A5" s="8"/>
      <c r="B5" s="8"/>
      <c r="C5" s="8"/>
      <c r="D5" s="8"/>
      <c r="E5" s="13"/>
      <c r="F5" s="13"/>
      <c r="G5" s="13"/>
      <c r="N5" t="str">
        <v>粤V695Q5</v>
      </c>
    </row>
    <row r="6" spans="1:14">
      <c r="A6" s="13"/>
      <c r="B6" s="13"/>
      <c r="C6" s="15"/>
      <c r="D6" s="13"/>
      <c r="E6" s="13"/>
      <c r="F6" s="13"/>
      <c r="G6" s="13"/>
      <c r="N6" t="str">
        <v>粤V9P969</v>
      </c>
    </row>
    <row r="7" spans="1:14">
      <c r="A7" s="13"/>
      <c r="B7" s="13"/>
      <c r="C7" s="15"/>
      <c r="D7" s="13"/>
      <c r="E7" s="13"/>
      <c r="F7" s="13"/>
      <c r="G7" s="13"/>
      <c r="N7" t="str">
        <v>粤V79697</v>
      </c>
    </row>
    <row r="8" spans="1:14">
      <c r="A8" s="13"/>
      <c r="B8" s="13"/>
      <c r="C8" s="15"/>
      <c r="D8" s="13"/>
      <c r="E8" s="13"/>
      <c r="F8" s="13"/>
      <c r="G8" s="13"/>
      <c r="N8" t="str">
        <v>粤VA4769</v>
      </c>
    </row>
    <row r="9" spans="1:14">
      <c r="A9" s="13"/>
      <c r="B9" s="13"/>
      <c r="C9" s="15"/>
      <c r="D9" s="13"/>
      <c r="E9" s="13"/>
      <c r="F9" s="13"/>
      <c r="G9" s="13"/>
      <c r="N9" t="str">
        <v>粤VX5710</v>
      </c>
    </row>
    <row r="10" spans="14:14">
      <c r="N10" t="str">
        <v>粤VZ0668</v>
      </c>
    </row>
    <row r="11" spans="1:14">
      <c r="A11" s="17" t="s">
        <v>36</v>
      </c>
      <c r="B11" s="17" t="s">
        <v>37</v>
      </c>
      <c r="C11" s="126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46" t="s">
        <v>41</v>
      </c>
      <c r="N11" t="str">
        <v>粤VP5526</v>
      </c>
    </row>
    <row r="12" spans="1:14">
      <c r="A12" s="23">
        <v>45925</v>
      </c>
      <c r="B12" s="24" t="s">
        <v>76</v>
      </c>
      <c r="C12" s="24">
        <v>66.57</v>
      </c>
      <c r="D12" s="19" t="str">
        <f>IF(C12&gt;=200,"5.85",IF(C12&lt;200,"5.95"))</f>
        <v>5.95</v>
      </c>
      <c r="E12" s="8">
        <f t="shared" ref="E12:E14" si="0">INT(C12*D12)</f>
        <v>396</v>
      </c>
      <c r="F12" s="8"/>
      <c r="G12" s="8"/>
      <c r="H12" s="8"/>
      <c r="N12" t="str">
        <v>粤VS6571</v>
      </c>
    </row>
    <row r="13" spans="1:14">
      <c r="A13" s="23">
        <v>45927</v>
      </c>
      <c r="B13" s="24" t="s">
        <v>77</v>
      </c>
      <c r="C13" s="24">
        <v>73.97</v>
      </c>
      <c r="D13" s="19" t="str">
        <f>IF(C13&gt;=200,"5.85",IF(C13&lt;200,"5.95"))</f>
        <v>5.95</v>
      </c>
      <c r="E13" s="8">
        <f t="shared" si="0"/>
        <v>440</v>
      </c>
      <c r="F13" s="8"/>
      <c r="G13" s="8"/>
      <c r="H13" s="8"/>
      <c r="N13" t="str">
        <v>粤V21146</v>
      </c>
    </row>
    <row r="14" spans="1:8">
      <c r="A14" s="23">
        <v>45928</v>
      </c>
      <c r="B14" s="24" t="s">
        <v>78</v>
      </c>
      <c r="C14" s="24">
        <v>58</v>
      </c>
      <c r="D14" s="19" t="str">
        <f>IF(C14&gt;=200,"5.85",IF(C14&lt;200,"5.95"))</f>
        <v>5.95</v>
      </c>
      <c r="E14" s="8">
        <f t="shared" si="0"/>
        <v>345</v>
      </c>
      <c r="F14" s="8"/>
      <c r="G14" s="8"/>
      <c r="H14" s="8"/>
    </row>
    <row r="15" spans="1:8">
      <c r="A15" s="23"/>
      <c r="B15" s="24"/>
      <c r="C15" s="24"/>
      <c r="D15" s="19"/>
      <c r="E15" s="8"/>
      <c r="F15" s="8"/>
      <c r="G15" s="8"/>
      <c r="H15" s="8"/>
    </row>
    <row r="16" spans="1:8">
      <c r="A16" s="23">
        <v>45929</v>
      </c>
      <c r="B16" s="24" t="s">
        <v>79</v>
      </c>
      <c r="C16" s="24">
        <v>424.85</v>
      </c>
      <c r="D16" s="19" t="str">
        <f t="shared" ref="D15:D21" si="1">IF(C16&gt;=200,"5.85",IF(C16&lt;200,"5.95"))</f>
        <v>5.85</v>
      </c>
      <c r="E16" s="8">
        <f t="shared" ref="E16:E21" si="2">INT(C16*D16)</f>
        <v>2485</v>
      </c>
      <c r="F16" s="8"/>
      <c r="G16" s="8"/>
      <c r="H16" s="8"/>
    </row>
    <row r="17" spans="1:8">
      <c r="A17" s="23">
        <v>45929</v>
      </c>
      <c r="B17" s="24" t="s">
        <v>79</v>
      </c>
      <c r="C17" s="24">
        <v>419.6</v>
      </c>
      <c r="D17" s="19" t="str">
        <f t="shared" si="1"/>
        <v>5.85</v>
      </c>
      <c r="E17" s="8">
        <f t="shared" si="2"/>
        <v>2454</v>
      </c>
      <c r="F17" s="8"/>
      <c r="G17" s="8"/>
      <c r="H17" s="8"/>
    </row>
    <row r="18" spans="1:8">
      <c r="A18" s="8"/>
      <c r="B18" s="8"/>
      <c r="C18" s="8"/>
      <c r="D18" s="19"/>
      <c r="E18" s="8"/>
      <c r="F18" s="8"/>
      <c r="G18" s="8"/>
      <c r="H18" s="8"/>
    </row>
    <row r="19" spans="1:8">
      <c r="A19" s="23">
        <v>45932</v>
      </c>
      <c r="B19" s="24" t="s">
        <v>80</v>
      </c>
      <c r="C19" s="24">
        <v>61.1</v>
      </c>
      <c r="D19" s="19" t="str">
        <f t="shared" si="1"/>
        <v>5.95</v>
      </c>
      <c r="E19" s="8">
        <f t="shared" si="2"/>
        <v>363</v>
      </c>
      <c r="F19" s="8"/>
      <c r="G19" s="8"/>
      <c r="H19" s="8"/>
    </row>
    <row r="20" spans="1:8">
      <c r="A20" s="23">
        <v>45934</v>
      </c>
      <c r="B20" s="24" t="s">
        <v>81</v>
      </c>
      <c r="C20" s="24">
        <v>157.24</v>
      </c>
      <c r="D20" s="19" t="str">
        <f t="shared" si="1"/>
        <v>5.95</v>
      </c>
      <c r="E20" s="8">
        <f t="shared" si="2"/>
        <v>935</v>
      </c>
      <c r="F20" s="8"/>
      <c r="G20" s="8"/>
      <c r="H20" s="8"/>
    </row>
    <row r="21" spans="1:8">
      <c r="A21" s="23">
        <v>45934</v>
      </c>
      <c r="B21" s="24" t="s">
        <v>79</v>
      </c>
      <c r="C21" s="24">
        <v>645.66</v>
      </c>
      <c r="D21" s="19" t="str">
        <f t="shared" si="1"/>
        <v>5.85</v>
      </c>
      <c r="E21" s="139">
        <f t="shared" si="2"/>
        <v>3777</v>
      </c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2" sqref="A12:E12"/>
    </sheetView>
  </sheetViews>
  <sheetFormatPr defaultColWidth="9" defaultRowHeight="14.25"/>
  <sheetData>
    <row r="1" ht="22.5" spans="1:7">
      <c r="A1" s="37" t="s">
        <v>0</v>
      </c>
      <c r="B1" s="38" t="s">
        <v>82</v>
      </c>
      <c r="C1" s="53"/>
      <c r="D1" s="66"/>
      <c r="E1" s="27" t="s">
        <v>2</v>
      </c>
      <c r="F1" s="41"/>
      <c r="G1" s="42"/>
    </row>
    <row r="2" spans="1:14">
      <c r="A2" s="44"/>
      <c r="B2" s="45"/>
      <c r="C2" s="59"/>
      <c r="D2" s="45"/>
      <c r="E2" s="140"/>
      <c r="F2" s="45"/>
      <c r="G2" s="45"/>
      <c r="N2" t="str" cm="1">
        <f t="array" ref="N2:N31">_xlfn.TOCOL(B3:F8)</f>
        <v>粤VZ3080</v>
      </c>
    </row>
    <row r="3" spans="1:14">
      <c r="A3" s="46" t="s">
        <v>3</v>
      </c>
      <c r="B3" s="34" t="s">
        <v>83</v>
      </c>
      <c r="C3" s="34" t="s">
        <v>84</v>
      </c>
      <c r="D3" s="34" t="s">
        <v>85</v>
      </c>
      <c r="E3" s="141" t="s">
        <v>86</v>
      </c>
      <c r="F3" s="34" t="s">
        <v>87</v>
      </c>
      <c r="G3" s="45"/>
      <c r="J3" s="144" t="s">
        <v>88</v>
      </c>
      <c r="K3" s="144"/>
      <c r="N3" t="str">
        <v>粤V03863</v>
      </c>
    </row>
    <row r="4" spans="1:14">
      <c r="A4" s="46"/>
      <c r="B4" s="105" t="s">
        <v>89</v>
      </c>
      <c r="C4" s="34" t="s">
        <v>90</v>
      </c>
      <c r="D4" s="103" t="s">
        <v>91</v>
      </c>
      <c r="E4" s="141" t="s">
        <v>92</v>
      </c>
      <c r="F4" s="103" t="s">
        <v>93</v>
      </c>
      <c r="G4" s="45"/>
      <c r="J4" s="47">
        <v>853</v>
      </c>
      <c r="K4" s="13">
        <v>537</v>
      </c>
      <c r="N4" t="str">
        <v>粤V73761</v>
      </c>
    </row>
    <row r="5" spans="1:14">
      <c r="A5" s="46"/>
      <c r="B5" s="103" t="s">
        <v>94</v>
      </c>
      <c r="C5" s="103" t="s">
        <v>95</v>
      </c>
      <c r="D5" s="125" t="s">
        <v>96</v>
      </c>
      <c r="E5" s="103" t="s">
        <v>97</v>
      </c>
      <c r="F5" s="125" t="s">
        <v>98</v>
      </c>
      <c r="G5" s="45"/>
      <c r="J5" s="13"/>
      <c r="K5" s="13"/>
      <c r="N5" t="str">
        <v>粤VN0966</v>
      </c>
    </row>
    <row r="6" spans="1:14">
      <c r="A6" s="46"/>
      <c r="B6" s="103" t="s">
        <v>99</v>
      </c>
      <c r="C6" s="142" t="s">
        <v>100</v>
      </c>
      <c r="D6" s="103" t="s">
        <v>101</v>
      </c>
      <c r="E6" s="67" t="s">
        <v>102</v>
      </c>
      <c r="F6" s="105" t="s">
        <v>103</v>
      </c>
      <c r="G6" s="45"/>
      <c r="J6" s="13"/>
      <c r="K6" s="13"/>
      <c r="N6" t="str">
        <v>粤VF6926</v>
      </c>
    </row>
    <row r="7" spans="1:14">
      <c r="A7" s="46"/>
      <c r="B7" s="67" t="s">
        <v>104</v>
      </c>
      <c r="C7" s="142" t="s">
        <v>105</v>
      </c>
      <c r="D7" s="103" t="s">
        <v>106</v>
      </c>
      <c r="E7" s="125"/>
      <c r="F7" s="125"/>
      <c r="G7" s="45"/>
      <c r="N7" t="str">
        <v>赣C5N490</v>
      </c>
    </row>
    <row r="8" spans="1:14">
      <c r="A8" s="46"/>
      <c r="B8" s="103" t="s">
        <v>107</v>
      </c>
      <c r="C8" s="105" t="s">
        <v>108</v>
      </c>
      <c r="D8" s="103" t="s">
        <v>109</v>
      </c>
      <c r="E8" s="8"/>
      <c r="F8" s="8"/>
      <c r="G8" s="45"/>
      <c r="N8" t="str">
        <v>粤VA1422</v>
      </c>
    </row>
    <row r="9" spans="1:14">
      <c r="A9" s="46"/>
      <c r="B9" s="8"/>
      <c r="C9" s="8"/>
      <c r="D9" s="8"/>
      <c r="E9" s="141"/>
      <c r="F9" s="34"/>
      <c r="G9" s="45"/>
      <c r="N9" t="str">
        <v>赣CCG859</v>
      </c>
    </row>
    <row r="10" spans="1:14">
      <c r="A10" s="31"/>
      <c r="E10" s="20"/>
      <c r="N10" t="str">
        <v>粤V05249</v>
      </c>
    </row>
    <row r="11" spans="1:14">
      <c r="A11" s="16" t="s">
        <v>36</v>
      </c>
      <c r="B11" s="17" t="s">
        <v>37</v>
      </c>
      <c r="C11" s="18" t="s">
        <v>38</v>
      </c>
      <c r="D11" s="17" t="s">
        <v>39</v>
      </c>
      <c r="E11" s="143" t="s">
        <v>40</v>
      </c>
      <c r="F11" s="17" t="s">
        <v>41</v>
      </c>
      <c r="G11" s="17" t="s">
        <v>41</v>
      </c>
      <c r="H11" s="17" t="s">
        <v>41</v>
      </c>
      <c r="N11" t="str">
        <v>赣C3M640</v>
      </c>
    </row>
    <row r="12" spans="1:14">
      <c r="A12" s="23">
        <v>45934</v>
      </c>
      <c r="B12" s="24" t="s">
        <v>79</v>
      </c>
      <c r="C12" s="24">
        <v>636.64</v>
      </c>
      <c r="D12" s="139">
        <v>5.85</v>
      </c>
      <c r="E12" s="139">
        <f>INT(C12*D12)</f>
        <v>3724</v>
      </c>
      <c r="N12" t="str">
        <v>粤AFW372</v>
      </c>
    </row>
    <row r="13" spans="14:14">
      <c r="N13" t="str">
        <v>赣CAZ939</v>
      </c>
    </row>
    <row r="14" spans="14:14">
      <c r="N14" t="str">
        <v>粤D2879K</v>
      </c>
    </row>
    <row r="15" spans="14:14">
      <c r="N15" t="str">
        <v>粤VP6887</v>
      </c>
    </row>
    <row r="16" spans="14:14">
      <c r="N16" t="str">
        <v>粤V03048</v>
      </c>
    </row>
    <row r="17" spans="14:14">
      <c r="N17" t="str">
        <v>粤V92187</v>
      </c>
    </row>
    <row r="18" spans="14:14">
      <c r="N18" t="str">
        <v>粤V98509</v>
      </c>
    </row>
    <row r="19" spans="14:14">
      <c r="N19" t="str">
        <v>粤LT616Z</v>
      </c>
    </row>
    <row r="20" spans="14:14">
      <c r="N20" t="str">
        <v>粤V02182</v>
      </c>
    </row>
    <row r="21" spans="14:14">
      <c r="N21" t="str">
        <v>粤V39548</v>
      </c>
    </row>
    <row r="22" spans="14:14">
      <c r="N22" t="str">
        <v>粤V01972</v>
      </c>
    </row>
    <row r="23" spans="14:14">
      <c r="N23" t="str">
        <v>粤V03965</v>
      </c>
    </row>
    <row r="24" spans="14:14">
      <c r="N24" t="str">
        <v>粤V05268</v>
      </c>
    </row>
    <row r="25" spans="14:14">
      <c r="N25">
        <v>0</v>
      </c>
    </row>
    <row r="26" spans="14:14">
      <c r="N26">
        <v>0</v>
      </c>
    </row>
    <row r="27" spans="14:14">
      <c r="N27" t="str">
        <v>赣AQ2711</v>
      </c>
    </row>
    <row r="28" spans="14:14">
      <c r="N28" t="str">
        <v>赣C0R531</v>
      </c>
    </row>
    <row r="29" spans="14:14">
      <c r="N29" t="str">
        <v>赣M83285</v>
      </c>
    </row>
    <row r="30" spans="14:14">
      <c r="N30">
        <v>0</v>
      </c>
    </row>
    <row r="31" spans="14:14">
      <c r="N31">
        <v>0</v>
      </c>
    </row>
  </sheetData>
  <mergeCells count="1">
    <mergeCell ref="A3:A9"/>
  </mergeCells>
  <conditionalFormatting sqref="B2 D2:F2">
    <cfRule type="duplicateValues" dxfId="1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B32" sqref="B32"/>
    </sheetView>
  </sheetViews>
  <sheetFormatPr defaultColWidth="9" defaultRowHeight="14.25"/>
  <cols>
    <col min="1" max="1" width="10.6666666666667" customWidth="1"/>
    <col min="5" max="5" width="10.4"/>
  </cols>
  <sheetData>
    <row r="1" ht="22.5" spans="1:9">
      <c r="A1" s="64" t="s">
        <v>0</v>
      </c>
      <c r="B1" s="38" t="s">
        <v>110</v>
      </c>
      <c r="C1" s="133"/>
      <c r="D1" s="40">
        <v>5.85</v>
      </c>
      <c r="E1" s="8"/>
      <c r="F1" s="6"/>
      <c r="G1" s="66"/>
      <c r="H1" s="45"/>
      <c r="I1" t="s">
        <v>111</v>
      </c>
    </row>
    <row r="2" ht="22.5" spans="1:8">
      <c r="A2" s="64"/>
      <c r="B2" s="38"/>
      <c r="C2" s="133"/>
      <c r="D2" s="45"/>
      <c r="E2" s="45"/>
      <c r="F2" s="45"/>
      <c r="G2" s="45"/>
      <c r="H2" s="45"/>
    </row>
    <row r="3" spans="1:8">
      <c r="A3" s="35" t="s">
        <v>112</v>
      </c>
      <c r="B3" s="47" t="s">
        <v>113</v>
      </c>
      <c r="C3" s="134"/>
      <c r="D3" s="56"/>
      <c r="E3" s="45"/>
      <c r="F3" s="56"/>
      <c r="G3" s="100"/>
      <c r="H3" s="45"/>
    </row>
    <row r="4" spans="1:8">
      <c r="A4" s="35"/>
      <c r="B4" s="35"/>
      <c r="C4" s="82"/>
      <c r="D4" s="100"/>
      <c r="E4" s="100"/>
      <c r="F4" s="100"/>
      <c r="G4" s="100"/>
      <c r="H4" s="45"/>
    </row>
    <row r="5" spans="1:8">
      <c r="A5" s="100"/>
      <c r="B5" s="100"/>
      <c r="C5" s="135"/>
      <c r="D5" s="100"/>
      <c r="E5" s="100"/>
      <c r="F5" s="100"/>
      <c r="G5" s="100"/>
      <c r="H5" s="45"/>
    </row>
    <row r="6" spans="1:8">
      <c r="A6" s="35" t="s">
        <v>36</v>
      </c>
      <c r="B6" s="35" t="s">
        <v>37</v>
      </c>
      <c r="C6" s="82" t="s">
        <v>38</v>
      </c>
      <c r="D6" s="35" t="s">
        <v>39</v>
      </c>
      <c r="E6" s="35" t="s">
        <v>40</v>
      </c>
      <c r="F6" s="35" t="s">
        <v>41</v>
      </c>
      <c r="G6" s="35" t="s">
        <v>41</v>
      </c>
      <c r="H6" s="35" t="s">
        <v>41</v>
      </c>
    </row>
    <row r="7" s="128" customFormat="1" spans="1:5">
      <c r="A7" s="136">
        <v>45928</v>
      </c>
      <c r="B7" s="137" t="s">
        <v>79</v>
      </c>
      <c r="C7" s="137">
        <v>441.11</v>
      </c>
      <c r="D7" s="132">
        <v>5.85</v>
      </c>
      <c r="E7" s="132">
        <f>INT(C7*D7)</f>
        <v>2580</v>
      </c>
    </row>
    <row r="8" spans="1:5">
      <c r="A8" s="23"/>
      <c r="B8" s="24"/>
      <c r="C8" s="138"/>
      <c r="D8" s="8"/>
      <c r="E8" s="132"/>
    </row>
    <row r="9" spans="1:5">
      <c r="A9" s="23"/>
      <c r="B9" s="24"/>
      <c r="C9" s="24"/>
      <c r="D9" s="139"/>
      <c r="E9" s="139"/>
    </row>
    <row r="10" spans="1:5">
      <c r="A10" s="23"/>
      <c r="B10" s="24"/>
      <c r="C10" s="24"/>
      <c r="D10" s="139"/>
      <c r="E10" s="13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A28" sqref="A28:E37"/>
    </sheetView>
  </sheetViews>
  <sheetFormatPr defaultColWidth="9" defaultRowHeight="14.25"/>
  <cols>
    <col min="1" max="1" width="10.8" customWidth="1"/>
  </cols>
  <sheetData>
    <row r="1" ht="22.5" spans="1:13">
      <c r="A1" s="101" t="s">
        <v>0</v>
      </c>
      <c r="B1" s="38" t="s">
        <v>114</v>
      </c>
      <c r="C1" s="39"/>
      <c r="D1" s="66"/>
      <c r="E1" s="27" t="s">
        <v>2</v>
      </c>
      <c r="F1" s="13"/>
      <c r="G1" s="6"/>
      <c r="H1" s="124"/>
      <c r="M1" t="str" cm="1">
        <f t="array" ref="M1:M30">_xlfn.TOCOL(B2:F7)</f>
        <v>粤VZ8558</v>
      </c>
    </row>
    <row r="2" spans="1:13">
      <c r="A2" s="35" t="s">
        <v>3</v>
      </c>
      <c r="B2" s="13" t="s">
        <v>115</v>
      </c>
      <c r="C2" s="13" t="s">
        <v>116</v>
      </c>
      <c r="D2" s="13" t="s">
        <v>117</v>
      </c>
      <c r="E2" s="13" t="s">
        <v>118</v>
      </c>
      <c r="F2" s="13" t="s">
        <v>119</v>
      </c>
      <c r="G2" s="8"/>
      <c r="H2" s="45"/>
      <c r="M2" t="str">
        <v>粤VX0945</v>
      </c>
    </row>
    <row r="3" spans="1:13">
      <c r="A3" s="35"/>
      <c r="B3" s="13" t="s">
        <v>120</v>
      </c>
      <c r="C3" s="13" t="s">
        <v>121</v>
      </c>
      <c r="D3" s="13" t="s">
        <v>122</v>
      </c>
      <c r="E3" s="13" t="s">
        <v>123</v>
      </c>
      <c r="F3" s="13" t="s">
        <v>124</v>
      </c>
      <c r="G3" s="8"/>
      <c r="H3" s="45"/>
      <c r="M3" t="str">
        <v>赣CAY252</v>
      </c>
    </row>
    <row r="4" spans="1:13">
      <c r="A4" s="35"/>
      <c r="B4" s="8" t="s">
        <v>125</v>
      </c>
      <c r="C4" s="13" t="s">
        <v>126</v>
      </c>
      <c r="D4" s="8" t="s">
        <v>127</v>
      </c>
      <c r="E4" s="13" t="s">
        <v>128</v>
      </c>
      <c r="F4" s="8" t="s">
        <v>129</v>
      </c>
      <c r="G4" s="8"/>
      <c r="H4" s="45"/>
      <c r="M4" t="str">
        <v>粤V6V115</v>
      </c>
    </row>
    <row r="5" spans="1:13">
      <c r="A5" s="35"/>
      <c r="B5" s="13" t="s">
        <v>130</v>
      </c>
      <c r="C5" s="13" t="s">
        <v>131</v>
      </c>
      <c r="D5" s="13" t="s">
        <v>132</v>
      </c>
      <c r="E5" s="13" t="s">
        <v>133</v>
      </c>
      <c r="F5" s="13" t="s">
        <v>134</v>
      </c>
      <c r="G5" s="13"/>
      <c r="H5" s="45"/>
      <c r="M5" t="str">
        <v>粤VQ4541</v>
      </c>
    </row>
    <row r="6" spans="1:13">
      <c r="A6" s="35"/>
      <c r="B6" s="13" t="s">
        <v>135</v>
      </c>
      <c r="C6" s="13" t="s">
        <v>136</v>
      </c>
      <c r="D6" s="13" t="s">
        <v>137</v>
      </c>
      <c r="E6" s="47" t="s">
        <v>138</v>
      </c>
      <c r="F6" s="55" t="s">
        <v>139</v>
      </c>
      <c r="G6" s="13"/>
      <c r="H6" s="45"/>
      <c r="M6" t="str">
        <v>粤V6C896</v>
      </c>
    </row>
    <row r="7" spans="1:13">
      <c r="A7" s="35"/>
      <c r="B7" s="13" t="s">
        <v>140</v>
      </c>
      <c r="C7" s="13" t="s">
        <v>141</v>
      </c>
      <c r="D7" s="13"/>
      <c r="E7" s="13"/>
      <c r="F7" s="13"/>
      <c r="G7" s="13"/>
      <c r="H7" s="45"/>
      <c r="M7" t="str">
        <v>赣K96093</v>
      </c>
    </row>
    <row r="8" spans="1:13">
      <c r="A8" s="35"/>
      <c r="B8" s="13"/>
      <c r="C8" s="13"/>
      <c r="D8" s="13"/>
      <c r="E8" s="13"/>
      <c r="F8" s="13"/>
      <c r="G8" s="13"/>
      <c r="H8" s="45"/>
      <c r="M8" t="str">
        <v>粤V913D0</v>
      </c>
    </row>
    <row r="9" spans="1:13">
      <c r="A9" s="35"/>
      <c r="B9" s="13"/>
      <c r="C9" s="39"/>
      <c r="D9" s="13"/>
      <c r="E9" s="13"/>
      <c r="F9" s="13"/>
      <c r="G9" s="66"/>
      <c r="H9" s="45"/>
      <c r="M9" t="str">
        <v>粤MS2183</v>
      </c>
    </row>
    <row r="10" spans="13:13">
      <c r="M10" t="str">
        <v>粤VZ6586</v>
      </c>
    </row>
    <row r="11" spans="1:13">
      <c r="A11" s="17" t="s">
        <v>36</v>
      </c>
      <c r="B11" s="17" t="s">
        <v>37</v>
      </c>
      <c r="C11" s="126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  <c r="M11" t="str">
        <v>粤VQW072</v>
      </c>
    </row>
    <row r="12" spans="1:13">
      <c r="A12" s="23">
        <v>45925</v>
      </c>
      <c r="B12" s="24" t="s">
        <v>142</v>
      </c>
      <c r="C12" s="24">
        <v>75.97</v>
      </c>
      <c r="D12" s="19" t="str">
        <f t="shared" ref="D12" si="0">IF(C12&gt;=200,"5.75",IF(C12&lt;200,"5.95"))</f>
        <v>5.95</v>
      </c>
      <c r="E12" s="8">
        <f t="shared" ref="E12" si="1">INT(C12*D12)</f>
        <v>452</v>
      </c>
      <c r="M12" t="str">
        <v>粤VQ8931</v>
      </c>
    </row>
    <row r="13" spans="1:13">
      <c r="A13" s="23">
        <v>45926</v>
      </c>
      <c r="B13" s="24" t="s">
        <v>143</v>
      </c>
      <c r="C13" s="24">
        <v>213.38</v>
      </c>
      <c r="D13" s="19" t="str">
        <f t="shared" ref="D13:D16" si="2">IF(C13&gt;=200,"5.75",IF(C13&lt;200,"5.95"))</f>
        <v>5.75</v>
      </c>
      <c r="E13" s="8">
        <f t="shared" ref="E13:E21" si="3">INT(C13*D13)</f>
        <v>1226</v>
      </c>
      <c r="M13" t="str">
        <v>粤VS5738</v>
      </c>
    </row>
    <row r="14" spans="1:13">
      <c r="A14" s="23">
        <v>45926</v>
      </c>
      <c r="B14" s="24" t="s">
        <v>144</v>
      </c>
      <c r="C14" s="24">
        <v>220.79</v>
      </c>
      <c r="D14" s="19" t="str">
        <f t="shared" si="2"/>
        <v>5.75</v>
      </c>
      <c r="E14" s="8">
        <f t="shared" si="3"/>
        <v>1269</v>
      </c>
      <c r="M14" t="str">
        <v>粤V5K938</v>
      </c>
    </row>
    <row r="15" spans="1:13">
      <c r="A15" s="23">
        <v>45926</v>
      </c>
      <c r="B15" s="24" t="s">
        <v>145</v>
      </c>
      <c r="C15" s="24">
        <v>103.56</v>
      </c>
      <c r="D15" s="19" t="str">
        <f t="shared" si="2"/>
        <v>5.95</v>
      </c>
      <c r="E15" s="8">
        <f t="shared" si="3"/>
        <v>616</v>
      </c>
      <c r="M15" t="str">
        <v>粤V829U2</v>
      </c>
    </row>
    <row r="16" spans="1:13">
      <c r="A16" s="23">
        <v>45927</v>
      </c>
      <c r="B16" s="24" t="s">
        <v>146</v>
      </c>
      <c r="C16" s="24">
        <v>89.31</v>
      </c>
      <c r="D16" s="19" t="str">
        <f t="shared" si="2"/>
        <v>5.95</v>
      </c>
      <c r="E16" s="8">
        <f t="shared" si="3"/>
        <v>531</v>
      </c>
      <c r="M16" t="str">
        <v>赣M12207</v>
      </c>
    </row>
    <row r="17" spans="1:13">
      <c r="A17" s="23">
        <v>45928</v>
      </c>
      <c r="B17" s="24" t="s">
        <v>147</v>
      </c>
      <c r="C17" s="24">
        <v>400</v>
      </c>
      <c r="D17" s="19" t="str">
        <f>IF(C17&gt;=200,"5.85",IF(C17&lt;200,"5.95"))</f>
        <v>5.85</v>
      </c>
      <c r="E17" s="8">
        <f t="shared" si="3"/>
        <v>2340</v>
      </c>
      <c r="M17" t="str">
        <v>粤V5179D</v>
      </c>
    </row>
    <row r="18" spans="1:13">
      <c r="A18" s="23">
        <v>45928</v>
      </c>
      <c r="B18" s="24" t="s">
        <v>148</v>
      </c>
      <c r="C18" s="24">
        <v>60.15</v>
      </c>
      <c r="D18" s="19" t="str">
        <f>IF(C18&gt;=200,"5.85",IF(C18&lt;200,"5.95"))</f>
        <v>5.95</v>
      </c>
      <c r="E18" s="8">
        <f t="shared" si="3"/>
        <v>357</v>
      </c>
      <c r="M18" t="str">
        <v>粤V1805K</v>
      </c>
    </row>
    <row r="19" spans="1:13">
      <c r="A19" s="23">
        <v>45928</v>
      </c>
      <c r="B19" s="24" t="s">
        <v>149</v>
      </c>
      <c r="C19" s="24">
        <v>45.86</v>
      </c>
      <c r="D19" s="19" t="str">
        <f>IF(C19&gt;=200,"5.85",IF(C19&lt;200,"5.95"))</f>
        <v>5.95</v>
      </c>
      <c r="E19" s="8">
        <f t="shared" si="3"/>
        <v>272</v>
      </c>
      <c r="M19" t="str">
        <v>赣C8M788</v>
      </c>
    </row>
    <row r="20" spans="1:13">
      <c r="A20" s="23">
        <v>45928</v>
      </c>
      <c r="B20" s="24" t="s">
        <v>150</v>
      </c>
      <c r="C20" s="24">
        <v>67.53</v>
      </c>
      <c r="D20" s="19" t="str">
        <f>IF(C20&gt;=200,"5.85",IF(C20&lt;200,"5.95"))</f>
        <v>5.95</v>
      </c>
      <c r="E20" s="8">
        <f t="shared" si="3"/>
        <v>401</v>
      </c>
      <c r="M20" t="str">
        <v>皖LH6186</v>
      </c>
    </row>
    <row r="21" s="128" customFormat="1" spans="1:13">
      <c r="A21" s="129">
        <v>45928</v>
      </c>
      <c r="B21" s="130" t="s">
        <v>151</v>
      </c>
      <c r="C21" s="130">
        <v>83.16</v>
      </c>
      <c r="D21" s="131" t="str">
        <f>IF(C21&gt;=200,"5.85",IF(C21&lt;200,"5.95"))</f>
        <v>5.95</v>
      </c>
      <c r="E21" s="132">
        <f t="shared" si="3"/>
        <v>494</v>
      </c>
      <c r="M21" s="128" t="str">
        <v>粤VN2691</v>
      </c>
    </row>
    <row r="22" spans="1:13">
      <c r="A22" s="23">
        <v>45929</v>
      </c>
      <c r="B22" s="24" t="s">
        <v>152</v>
      </c>
      <c r="C22" s="24">
        <v>64.95</v>
      </c>
      <c r="D22" s="19" t="str">
        <f t="shared" ref="D22:D27" si="4">IF(C22&gt;=200,"5.85",IF(C22&lt;200,"5.95"))</f>
        <v>5.95</v>
      </c>
      <c r="E22" s="8">
        <f t="shared" ref="E22:E27" si="5">INT(C22*D22)</f>
        <v>386</v>
      </c>
      <c r="M22" t="str">
        <v>粤VN2495</v>
      </c>
    </row>
    <row r="23" spans="1:13">
      <c r="A23" s="23">
        <v>45929</v>
      </c>
      <c r="B23" s="24" t="s">
        <v>153</v>
      </c>
      <c r="C23" s="24">
        <v>100</v>
      </c>
      <c r="D23" s="19" t="str">
        <f t="shared" si="4"/>
        <v>5.95</v>
      </c>
      <c r="E23" s="8">
        <f t="shared" si="5"/>
        <v>595</v>
      </c>
      <c r="M23" t="str">
        <v>赣C5M101</v>
      </c>
    </row>
    <row r="24" spans="1:13">
      <c r="A24" s="23">
        <v>45930</v>
      </c>
      <c r="B24" s="24" t="s">
        <v>146</v>
      </c>
      <c r="C24" s="24">
        <v>87.08</v>
      </c>
      <c r="D24" s="19" t="str">
        <f t="shared" si="4"/>
        <v>5.95</v>
      </c>
      <c r="E24" s="8">
        <f t="shared" si="5"/>
        <v>518</v>
      </c>
      <c r="M24" t="str">
        <v>粤VAH099</v>
      </c>
    </row>
    <row r="25" spans="1:13">
      <c r="A25" s="23">
        <v>45930</v>
      </c>
      <c r="B25" s="24" t="s">
        <v>145</v>
      </c>
      <c r="C25" s="24">
        <v>103.56</v>
      </c>
      <c r="D25" s="19" t="str">
        <f t="shared" si="4"/>
        <v>5.95</v>
      </c>
      <c r="E25" s="8">
        <f t="shared" si="5"/>
        <v>616</v>
      </c>
      <c r="M25" t="str">
        <v>粤VV2273</v>
      </c>
    </row>
    <row r="26" spans="1:13">
      <c r="A26" s="23">
        <v>45931</v>
      </c>
      <c r="B26" s="24" t="s">
        <v>147</v>
      </c>
      <c r="C26" s="24">
        <v>400</v>
      </c>
      <c r="D26" s="19" t="str">
        <f t="shared" si="4"/>
        <v>5.85</v>
      </c>
      <c r="E26" s="8">
        <f t="shared" si="5"/>
        <v>2340</v>
      </c>
      <c r="M26" t="str">
        <v>粤VW8769</v>
      </c>
    </row>
    <row r="27" spans="1:13">
      <c r="A27" s="23">
        <v>45931</v>
      </c>
      <c r="B27" s="24" t="s">
        <v>154</v>
      </c>
      <c r="C27" s="24">
        <v>94.53</v>
      </c>
      <c r="D27" s="19" t="str">
        <f t="shared" si="4"/>
        <v>5.95</v>
      </c>
      <c r="E27" s="8">
        <f t="shared" si="5"/>
        <v>562</v>
      </c>
      <c r="M27" t="str">
        <v>粤VN3920</v>
      </c>
    </row>
    <row r="28" spans="1:13">
      <c r="A28" s="23">
        <v>45932</v>
      </c>
      <c r="B28" s="24" t="s">
        <v>142</v>
      </c>
      <c r="C28" s="24">
        <v>29.59</v>
      </c>
      <c r="D28" s="19" t="str">
        <f t="shared" ref="D28:D36" si="6">IF(C28&gt;=200,"5.85",IF(C28&lt;200,"5.95"))</f>
        <v>5.95</v>
      </c>
      <c r="E28" s="8">
        <f t="shared" ref="E28:E36" si="7">INT(C28*D28)</f>
        <v>176</v>
      </c>
      <c r="M28">
        <v>0</v>
      </c>
    </row>
    <row r="29" spans="1:13">
      <c r="A29" s="23">
        <v>45932</v>
      </c>
      <c r="B29" s="24" t="s">
        <v>155</v>
      </c>
      <c r="C29" s="24">
        <v>98</v>
      </c>
      <c r="D29" s="19" t="str">
        <f t="shared" si="6"/>
        <v>5.95</v>
      </c>
      <c r="E29" s="8">
        <f t="shared" si="7"/>
        <v>583</v>
      </c>
      <c r="M29">
        <v>0</v>
      </c>
    </row>
    <row r="30" spans="1:13">
      <c r="A30" s="23">
        <v>45932</v>
      </c>
      <c r="B30" s="24" t="s">
        <v>153</v>
      </c>
      <c r="C30" s="24">
        <v>44.38</v>
      </c>
      <c r="D30" s="19" t="str">
        <f t="shared" si="6"/>
        <v>5.95</v>
      </c>
      <c r="E30" s="8">
        <f t="shared" si="7"/>
        <v>264</v>
      </c>
      <c r="M30">
        <v>0</v>
      </c>
    </row>
    <row r="31" spans="1:5">
      <c r="A31" s="23">
        <v>45933</v>
      </c>
      <c r="B31" s="24" t="s">
        <v>156</v>
      </c>
      <c r="C31" s="24">
        <v>238.08</v>
      </c>
      <c r="D31" s="19" t="str">
        <f t="shared" si="6"/>
        <v>5.85</v>
      </c>
      <c r="E31" s="8">
        <f t="shared" si="7"/>
        <v>1392</v>
      </c>
    </row>
    <row r="32" spans="1:5">
      <c r="A32" s="23">
        <v>45933</v>
      </c>
      <c r="B32" s="24" t="s">
        <v>150</v>
      </c>
      <c r="C32" s="24">
        <v>61.5</v>
      </c>
      <c r="D32" s="19" t="str">
        <f t="shared" si="6"/>
        <v>5.95</v>
      </c>
      <c r="E32" s="8">
        <f t="shared" si="7"/>
        <v>365</v>
      </c>
    </row>
    <row r="33" spans="1:5">
      <c r="A33" s="23">
        <v>45933</v>
      </c>
      <c r="B33" s="24" t="s">
        <v>157</v>
      </c>
      <c r="C33" s="24">
        <v>283.68</v>
      </c>
      <c r="D33" s="19" t="str">
        <f t="shared" si="6"/>
        <v>5.85</v>
      </c>
      <c r="E33" s="8">
        <f t="shared" si="7"/>
        <v>1659</v>
      </c>
    </row>
    <row r="34" spans="1:5">
      <c r="A34" s="23">
        <v>45933</v>
      </c>
      <c r="B34" s="24" t="s">
        <v>153</v>
      </c>
      <c r="C34" s="24">
        <v>255</v>
      </c>
      <c r="D34" s="19" t="str">
        <f t="shared" si="6"/>
        <v>5.85</v>
      </c>
      <c r="E34" s="8">
        <f t="shared" si="7"/>
        <v>1491</v>
      </c>
    </row>
    <row r="35" spans="1:5">
      <c r="A35" s="23">
        <v>45934</v>
      </c>
      <c r="B35" s="24" t="s">
        <v>145</v>
      </c>
      <c r="C35" s="24">
        <v>103.56</v>
      </c>
      <c r="D35" s="19" t="str">
        <f t="shared" si="6"/>
        <v>5.95</v>
      </c>
      <c r="E35" s="8">
        <f t="shared" si="7"/>
        <v>616</v>
      </c>
    </row>
    <row r="36" spans="1:5">
      <c r="A36" s="23">
        <v>45934</v>
      </c>
      <c r="B36" s="24" t="s">
        <v>148</v>
      </c>
      <c r="C36" s="24">
        <v>54.04</v>
      </c>
      <c r="D36" s="19" t="str">
        <f t="shared" si="6"/>
        <v>5.95</v>
      </c>
      <c r="E36" s="8">
        <f t="shared" si="7"/>
        <v>321</v>
      </c>
    </row>
    <row r="37" spans="5:5">
      <c r="E37">
        <f>SUM(E28:E36)</f>
        <v>6867</v>
      </c>
    </row>
  </sheetData>
  <mergeCells count="1">
    <mergeCell ref="A2:A9"/>
  </mergeCells>
  <conditionalFormatting sqref="H8">
    <cfRule type="duplicateValues" dxfId="1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L4" sqref="L4:L7"/>
    </sheetView>
  </sheetViews>
  <sheetFormatPr defaultColWidth="9" defaultRowHeight="14.25"/>
  <sheetData>
    <row r="1" ht="22.5" spans="1:8">
      <c r="A1" s="101" t="s">
        <v>0</v>
      </c>
      <c r="B1" s="38" t="s">
        <v>158</v>
      </c>
      <c r="C1" s="39"/>
      <c r="D1" s="66"/>
      <c r="E1" s="27" t="s">
        <v>2</v>
      </c>
      <c r="F1" s="13"/>
      <c r="G1" s="6"/>
      <c r="H1" s="124"/>
    </row>
    <row r="2" ht="22.5" spans="1:8">
      <c r="A2" s="64"/>
      <c r="B2" s="38"/>
      <c r="C2" s="39"/>
      <c r="D2" s="13"/>
      <c r="E2" s="13"/>
      <c r="F2" s="13"/>
      <c r="G2" s="13"/>
      <c r="H2" s="45"/>
    </row>
    <row r="3" spans="1:8">
      <c r="A3" s="35" t="s">
        <v>3</v>
      </c>
      <c r="B3" s="127" t="s">
        <v>159</v>
      </c>
      <c r="C3" s="8" t="s">
        <v>160</v>
      </c>
      <c r="D3" s="9" t="s">
        <v>161</v>
      </c>
      <c r="E3" s="127" t="s">
        <v>162</v>
      </c>
      <c r="F3" s="13"/>
      <c r="G3" s="8"/>
      <c r="H3" s="45"/>
    </row>
    <row r="4" spans="1:12">
      <c r="A4" s="35"/>
      <c r="B4" s="8"/>
      <c r="C4" s="8"/>
      <c r="D4" s="8"/>
      <c r="E4" s="8"/>
      <c r="F4" s="13"/>
      <c r="G4" s="8"/>
      <c r="H4" s="45"/>
      <c r="L4" s="127" t="s">
        <v>159</v>
      </c>
    </row>
    <row r="5" spans="1:12">
      <c r="A5" s="35"/>
      <c r="B5" s="8"/>
      <c r="C5" s="8"/>
      <c r="D5" s="8"/>
      <c r="E5" s="13"/>
      <c r="F5" s="8"/>
      <c r="G5" s="8"/>
      <c r="H5" s="45"/>
      <c r="L5" s="8" t="s">
        <v>160</v>
      </c>
    </row>
    <row r="6" spans="1:12">
      <c r="A6" s="35"/>
      <c r="B6" s="13"/>
      <c r="C6" s="13"/>
      <c r="D6" s="13"/>
      <c r="E6" s="13"/>
      <c r="F6" s="13"/>
      <c r="G6" s="13"/>
      <c r="H6" s="45"/>
      <c r="L6" s="9" t="s">
        <v>161</v>
      </c>
    </row>
    <row r="7" spans="1:12">
      <c r="A7" s="35"/>
      <c r="B7" s="13"/>
      <c r="C7" s="13"/>
      <c r="D7" s="13"/>
      <c r="E7" s="47"/>
      <c r="F7" s="55"/>
      <c r="G7" s="13"/>
      <c r="H7" s="45"/>
      <c r="L7" s="127" t="s">
        <v>162</v>
      </c>
    </row>
    <row r="8" spans="1:8">
      <c r="A8" s="35"/>
      <c r="B8" s="13"/>
      <c r="C8" s="13"/>
      <c r="D8" s="13"/>
      <c r="E8" s="13"/>
      <c r="F8" s="13"/>
      <c r="G8" s="13"/>
      <c r="H8" s="45"/>
    </row>
    <row r="9" spans="1:8">
      <c r="A9" s="35"/>
      <c r="B9" s="13"/>
      <c r="C9" s="13"/>
      <c r="D9" s="13"/>
      <c r="E9" s="13"/>
      <c r="F9" s="13"/>
      <c r="G9" s="13"/>
      <c r="H9" s="45"/>
    </row>
    <row r="10" spans="1:8">
      <c r="A10" s="35"/>
      <c r="B10" s="13"/>
      <c r="C10" s="39"/>
      <c r="D10" s="13"/>
      <c r="E10" s="13"/>
      <c r="F10" s="13"/>
      <c r="G10" s="66"/>
      <c r="H10" s="45"/>
    </row>
    <row r="12" spans="1:8">
      <c r="A12" s="17" t="s">
        <v>36</v>
      </c>
      <c r="B12" s="17" t="s">
        <v>37</v>
      </c>
      <c r="C12" s="126" t="s">
        <v>38</v>
      </c>
      <c r="D12" s="17" t="s">
        <v>39</v>
      </c>
      <c r="E12" s="17" t="s">
        <v>40</v>
      </c>
      <c r="F12" s="17" t="s">
        <v>41</v>
      </c>
      <c r="G12" s="17" t="s">
        <v>41</v>
      </c>
      <c r="H12" s="17" t="s">
        <v>41</v>
      </c>
    </row>
    <row r="13" spans="1:8">
      <c r="A13" s="8"/>
      <c r="B13" s="8"/>
      <c r="C13" s="8"/>
      <c r="D13" s="8"/>
      <c r="E13" s="8">
        <f t="shared" ref="E13" si="0">INT(C13*D13)</f>
        <v>0</v>
      </c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</sheetData>
  <mergeCells count="1">
    <mergeCell ref="A3:A10"/>
  </mergeCells>
  <conditionalFormatting sqref="H9">
    <cfRule type="duplicateValues" dxfId="1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E13" sqref="E13:E14"/>
    </sheetView>
  </sheetViews>
  <sheetFormatPr defaultColWidth="9" defaultRowHeight="14.25"/>
  <cols>
    <col min="1" max="1" width="10.0666666666667" customWidth="1"/>
  </cols>
  <sheetData>
    <row r="1" ht="22.5" spans="1:8">
      <c r="A1" s="101" t="s">
        <v>0</v>
      </c>
      <c r="B1" s="38" t="s">
        <v>163</v>
      </c>
      <c r="C1" s="39"/>
      <c r="D1" s="66"/>
      <c r="E1" s="27">
        <v>5.85</v>
      </c>
      <c r="F1" s="13"/>
      <c r="G1" s="6"/>
      <c r="H1" s="124"/>
    </row>
    <row r="2" spans="1:8">
      <c r="A2" s="35" t="s">
        <v>3</v>
      </c>
      <c r="B2" s="125" t="s">
        <v>164</v>
      </c>
      <c r="C2" s="125" t="s">
        <v>165</v>
      </c>
      <c r="D2" s="125" t="s">
        <v>166</v>
      </c>
      <c r="E2" s="125" t="s">
        <v>167</v>
      </c>
      <c r="F2" s="125" t="s">
        <v>168</v>
      </c>
      <c r="G2" s="8"/>
      <c r="H2" s="45"/>
    </row>
    <row r="3" spans="1:8">
      <c r="A3" s="35"/>
      <c r="B3" s="8"/>
      <c r="C3" s="8"/>
      <c r="D3" s="8"/>
      <c r="E3" s="8"/>
      <c r="F3" s="13"/>
      <c r="G3" s="8"/>
      <c r="H3" s="45"/>
    </row>
    <row r="4" spans="1:13">
      <c r="A4" s="35"/>
      <c r="B4" s="8"/>
      <c r="C4" s="8"/>
      <c r="D4" s="8"/>
      <c r="E4" s="13"/>
      <c r="F4" s="8"/>
      <c r="G4" s="8"/>
      <c r="H4" s="45"/>
      <c r="M4" s="125" t="s">
        <v>164</v>
      </c>
    </row>
    <row r="5" spans="1:13">
      <c r="A5" s="35"/>
      <c r="B5" s="13"/>
      <c r="C5" s="13"/>
      <c r="D5" s="13"/>
      <c r="E5" s="13"/>
      <c r="F5" s="13"/>
      <c r="G5" s="13"/>
      <c r="H5" s="45"/>
      <c r="M5" s="125" t="s">
        <v>165</v>
      </c>
    </row>
    <row r="6" spans="1:13">
      <c r="A6" s="35"/>
      <c r="B6" s="13"/>
      <c r="C6" s="13"/>
      <c r="D6" s="13"/>
      <c r="E6" s="47"/>
      <c r="F6" s="55"/>
      <c r="G6" s="13"/>
      <c r="H6" s="45"/>
      <c r="M6" s="125" t="s">
        <v>166</v>
      </c>
    </row>
    <row r="7" spans="1:13">
      <c r="A7" s="35"/>
      <c r="B7" s="13"/>
      <c r="C7" s="13"/>
      <c r="D7" s="13"/>
      <c r="E7" s="13"/>
      <c r="F7" s="13"/>
      <c r="G7" s="13"/>
      <c r="H7" s="45"/>
      <c r="M7" s="125" t="s">
        <v>167</v>
      </c>
    </row>
    <row r="8" spans="1:13">
      <c r="A8" s="35"/>
      <c r="B8" s="13"/>
      <c r="C8" s="13"/>
      <c r="D8" s="13"/>
      <c r="E8" s="13"/>
      <c r="F8" s="13"/>
      <c r="G8" s="13"/>
      <c r="H8" s="45"/>
      <c r="M8" s="125" t="s">
        <v>168</v>
      </c>
    </row>
    <row r="9" spans="1:8">
      <c r="A9" s="35"/>
      <c r="B9" s="13"/>
      <c r="C9" s="39"/>
      <c r="D9" s="13"/>
      <c r="E9" s="13"/>
      <c r="F9" s="13"/>
      <c r="G9" s="66"/>
      <c r="H9" s="45"/>
    </row>
    <row r="11" spans="1:8">
      <c r="A11" s="17" t="s">
        <v>36</v>
      </c>
      <c r="B11" s="17" t="s">
        <v>37</v>
      </c>
      <c r="C11" s="126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45931</v>
      </c>
      <c r="B12" s="24" t="s">
        <v>169</v>
      </c>
      <c r="C12" s="24">
        <v>53.26</v>
      </c>
      <c r="D12" s="117">
        <v>5.85</v>
      </c>
      <c r="E12" s="8">
        <f t="shared" ref="E12:E15" si="0">INT(C12*D12)</f>
        <v>311</v>
      </c>
    </row>
    <row r="13" spans="1:5">
      <c r="A13" s="23">
        <v>45931</v>
      </c>
      <c r="B13" s="24" t="s">
        <v>170</v>
      </c>
      <c r="C13" s="24">
        <v>560</v>
      </c>
      <c r="D13" s="117">
        <v>5.85</v>
      </c>
      <c r="E13" s="8">
        <f t="shared" si="0"/>
        <v>3276</v>
      </c>
    </row>
    <row r="14" spans="1:5">
      <c r="A14" s="23">
        <v>45934</v>
      </c>
      <c r="B14" s="24" t="s">
        <v>171</v>
      </c>
      <c r="C14" s="24">
        <v>530</v>
      </c>
      <c r="D14" s="117">
        <v>5.85</v>
      </c>
      <c r="E14" s="8">
        <f t="shared" si="0"/>
        <v>3100</v>
      </c>
    </row>
    <row r="15" spans="1:5">
      <c r="A15" s="23">
        <v>45934</v>
      </c>
      <c r="B15" s="24" t="s">
        <v>172</v>
      </c>
      <c r="C15" s="24">
        <v>103</v>
      </c>
      <c r="D15" s="117">
        <v>5.85</v>
      </c>
      <c r="E15" s="8">
        <f t="shared" si="0"/>
        <v>602</v>
      </c>
    </row>
    <row r="16" spans="5:5">
      <c r="E16">
        <f>SUM(E14:E15)</f>
        <v>3702</v>
      </c>
    </row>
  </sheetData>
  <mergeCells count="1">
    <mergeCell ref="A2:A9"/>
  </mergeCells>
  <conditionalFormatting sqref="H8">
    <cfRule type="duplicateValues" dxfId="1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L1" sqref="L1:L6"/>
    </sheetView>
  </sheetViews>
  <sheetFormatPr defaultColWidth="9" defaultRowHeight="14.25"/>
  <sheetData>
    <row r="1" ht="22.5" spans="1:12">
      <c r="A1" s="64" t="s">
        <v>0</v>
      </c>
      <c r="B1" s="118" t="s">
        <v>173</v>
      </c>
      <c r="C1" s="53"/>
      <c r="D1" s="66"/>
      <c r="E1" s="40">
        <v>5.85</v>
      </c>
      <c r="F1" s="122"/>
      <c r="L1" t="str" cm="1">
        <f t="array" ref="L1:L8">_xlfn.TOCOL(B3:E4)</f>
        <v>赣M32396</v>
      </c>
    </row>
    <row r="2" spans="1:12">
      <c r="A2" s="45"/>
      <c r="B2" s="45"/>
      <c r="C2" s="59"/>
      <c r="D2" s="45"/>
      <c r="E2" s="45"/>
      <c r="F2" s="45"/>
      <c r="L2" t="str">
        <v>粤BGC255</v>
      </c>
    </row>
    <row r="3" spans="1:12">
      <c r="A3" s="72" t="s">
        <v>3</v>
      </c>
      <c r="B3" s="66" t="s">
        <v>174</v>
      </c>
      <c r="C3" s="121" t="s">
        <v>175</v>
      </c>
      <c r="D3" s="66" t="s">
        <v>176</v>
      </c>
      <c r="E3" s="66" t="s">
        <v>177</v>
      </c>
      <c r="F3" s="66"/>
      <c r="L3" t="str">
        <v>赣M95300</v>
      </c>
    </row>
    <row r="4" spans="1:12">
      <c r="A4" s="73"/>
      <c r="B4" s="66" t="s">
        <v>178</v>
      </c>
      <c r="C4" s="66" t="s">
        <v>179</v>
      </c>
      <c r="D4" s="8"/>
      <c r="E4" s="8"/>
      <c r="F4" s="13"/>
      <c r="L4" t="str">
        <v>赣AM0017</v>
      </c>
    </row>
    <row r="5" spans="1:12">
      <c r="A5" s="73"/>
      <c r="B5" s="13"/>
      <c r="C5" s="15"/>
      <c r="D5" s="13"/>
      <c r="E5" s="13"/>
      <c r="F5" s="13"/>
      <c r="L5" t="str">
        <v>赣M68158</v>
      </c>
    </row>
    <row r="6" spans="1:12">
      <c r="A6" s="74"/>
      <c r="B6" s="13"/>
      <c r="C6" s="15"/>
      <c r="D6" s="13"/>
      <c r="E6" s="13"/>
      <c r="F6" s="13"/>
      <c r="L6" t="str">
        <v>赣M69808</v>
      </c>
    </row>
    <row r="7" spans="12:12">
      <c r="L7">
        <v>0</v>
      </c>
    </row>
    <row r="8" spans="1:12">
      <c r="A8" s="17" t="s">
        <v>36</v>
      </c>
      <c r="B8" s="17" t="s">
        <v>37</v>
      </c>
      <c r="C8" s="18" t="s">
        <v>38</v>
      </c>
      <c r="D8" s="17" t="s">
        <v>39</v>
      </c>
      <c r="E8" s="17" t="s">
        <v>40</v>
      </c>
      <c r="F8" s="17" t="s">
        <v>41</v>
      </c>
      <c r="G8" s="17" t="s">
        <v>41</v>
      </c>
      <c r="H8" s="17" t="s">
        <v>41</v>
      </c>
      <c r="L8">
        <v>0</v>
      </c>
    </row>
    <row r="9" spans="4:5">
      <c r="D9" s="8"/>
      <c r="E9" s="123">
        <f>INT(C9*D9)</f>
        <v>0</v>
      </c>
    </row>
  </sheetData>
  <mergeCells count="1">
    <mergeCell ref="A3:A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3" sqref="A13:E15"/>
    </sheetView>
  </sheetViews>
  <sheetFormatPr defaultColWidth="9" defaultRowHeight="14.25"/>
  <cols>
    <col min="1" max="1" width="9.46666666666667" customWidth="1"/>
    <col min="5" max="5" width="9.375"/>
  </cols>
  <sheetData>
    <row r="1" ht="20.25" spans="1:9">
      <c r="A1" s="101" t="s">
        <v>0</v>
      </c>
      <c r="B1" s="118" t="s">
        <v>180</v>
      </c>
      <c r="C1" s="53"/>
      <c r="D1" s="66"/>
      <c r="E1" s="40">
        <v>5.85</v>
      </c>
      <c r="F1" s="41"/>
      <c r="G1" s="69"/>
      <c r="H1" s="69"/>
      <c r="I1" s="41"/>
    </row>
    <row r="2" spans="1:9">
      <c r="A2" s="35" t="s">
        <v>3</v>
      </c>
      <c r="B2" s="13" t="s">
        <v>181</v>
      </c>
      <c r="C2" s="15" t="s">
        <v>182</v>
      </c>
      <c r="D2" s="13" t="s">
        <v>183</v>
      </c>
      <c r="E2" s="66" t="s">
        <v>184</v>
      </c>
      <c r="F2" s="13"/>
      <c r="G2" s="13" t="s">
        <v>185</v>
      </c>
      <c r="H2" s="120" t="s">
        <v>186</v>
      </c>
      <c r="I2" s="13"/>
    </row>
    <row r="3" spans="1:13">
      <c r="A3" s="35"/>
      <c r="B3" s="13" t="s">
        <v>187</v>
      </c>
      <c r="C3" s="15" t="s">
        <v>188</v>
      </c>
      <c r="D3" s="13" t="s">
        <v>189</v>
      </c>
      <c r="E3" s="13" t="s">
        <v>190</v>
      </c>
      <c r="F3" s="13" t="s">
        <v>191</v>
      </c>
      <c r="G3" s="13" t="s">
        <v>192</v>
      </c>
      <c r="H3" s="45"/>
      <c r="I3" s="45"/>
      <c r="M3" s="13" t="s">
        <v>181</v>
      </c>
    </row>
    <row r="4" spans="1:13">
      <c r="A4" s="35"/>
      <c r="B4" s="13" t="s">
        <v>193</v>
      </c>
      <c r="C4" s="121" t="s">
        <v>194</v>
      </c>
      <c r="D4" s="13" t="s">
        <v>195</v>
      </c>
      <c r="E4" s="13"/>
      <c r="F4" s="13"/>
      <c r="G4" s="13"/>
      <c r="H4" s="45"/>
      <c r="I4" s="45"/>
      <c r="M4" s="13" t="s">
        <v>182</v>
      </c>
    </row>
    <row r="5" spans="1:13">
      <c r="A5" s="35"/>
      <c r="B5" s="13"/>
      <c r="C5" s="15"/>
      <c r="D5" s="13"/>
      <c r="E5" s="13"/>
      <c r="F5" s="13"/>
      <c r="G5" s="13"/>
      <c r="H5" s="45"/>
      <c r="I5" s="45"/>
      <c r="M5" s="13" t="s">
        <v>183</v>
      </c>
    </row>
    <row r="6" spans="1:13">
      <c r="A6" s="45"/>
      <c r="B6" s="45"/>
      <c r="C6" s="59"/>
      <c r="D6" s="45"/>
      <c r="E6" s="45"/>
      <c r="F6" s="45"/>
      <c r="G6" s="45"/>
      <c r="H6" s="45"/>
      <c r="I6" s="45"/>
      <c r="M6" s="13" t="s">
        <v>184</v>
      </c>
    </row>
    <row r="7" spans="1:13">
      <c r="A7" s="45"/>
      <c r="B7" s="45"/>
      <c r="C7" s="59"/>
      <c r="D7" s="45"/>
      <c r="E7" s="45"/>
      <c r="F7" s="45"/>
      <c r="G7" s="45"/>
      <c r="H7" s="45"/>
      <c r="I7" s="45"/>
      <c r="M7" s="13" t="s">
        <v>185</v>
      </c>
    </row>
    <row r="8" spans="1:13">
      <c r="A8" s="17" t="s">
        <v>36</v>
      </c>
      <c r="B8" s="17" t="s">
        <v>37</v>
      </c>
      <c r="C8" s="18" t="s">
        <v>38</v>
      </c>
      <c r="D8" s="17" t="s">
        <v>39</v>
      </c>
      <c r="E8" s="17" t="s">
        <v>40</v>
      </c>
      <c r="F8" s="17" t="s">
        <v>41</v>
      </c>
      <c r="G8" s="17" t="s">
        <v>41</v>
      </c>
      <c r="H8" s="17" t="s">
        <v>41</v>
      </c>
      <c r="I8" s="45"/>
      <c r="M8" s="13" t="s">
        <v>187</v>
      </c>
    </row>
    <row r="9" spans="1:13">
      <c r="A9" s="23">
        <v>45927</v>
      </c>
      <c r="B9" s="24" t="s">
        <v>196</v>
      </c>
      <c r="C9" s="24">
        <v>330</v>
      </c>
      <c r="D9" s="8">
        <v>5.75</v>
      </c>
      <c r="E9" s="119">
        <f>INT(C9*D9)</f>
        <v>1897</v>
      </c>
      <c r="G9" s="107"/>
      <c r="M9" s="13" t="s">
        <v>188</v>
      </c>
    </row>
    <row r="10" spans="1:13">
      <c r="A10" s="23">
        <v>45927</v>
      </c>
      <c r="B10" s="24" t="s">
        <v>197</v>
      </c>
      <c r="C10" s="24">
        <v>185.06</v>
      </c>
      <c r="D10" s="8">
        <v>5.75</v>
      </c>
      <c r="E10" s="119">
        <f>INT(C10*D10)</f>
        <v>1064</v>
      </c>
      <c r="M10" s="13" t="s">
        <v>189</v>
      </c>
    </row>
    <row r="11" spans="1:13">
      <c r="A11" s="23">
        <v>45927</v>
      </c>
      <c r="B11" s="24" t="s">
        <v>198</v>
      </c>
      <c r="C11" s="24">
        <v>129.28</v>
      </c>
      <c r="D11" s="8">
        <v>5.75</v>
      </c>
      <c r="E11" s="119">
        <f>INT(C11*D11)</f>
        <v>743</v>
      </c>
      <c r="M11" s="13" t="s">
        <v>190</v>
      </c>
    </row>
    <row r="12" spans="1:13">
      <c r="A12" s="23">
        <v>45929</v>
      </c>
      <c r="B12" s="24" t="s">
        <v>199</v>
      </c>
      <c r="C12" s="24">
        <v>254</v>
      </c>
      <c r="D12" s="8">
        <v>5.85</v>
      </c>
      <c r="E12" s="119">
        <f>INT(C12*D12)</f>
        <v>1485</v>
      </c>
      <c r="M12" s="13" t="s">
        <v>191</v>
      </c>
    </row>
    <row r="13" spans="1:13">
      <c r="A13" s="23">
        <v>45932</v>
      </c>
      <c r="B13" s="24" t="s">
        <v>199</v>
      </c>
      <c r="C13" s="24">
        <v>276.53</v>
      </c>
      <c r="D13" s="8">
        <v>5.85</v>
      </c>
      <c r="E13" s="119">
        <f>INT(C13*D13)</f>
        <v>1617</v>
      </c>
      <c r="M13" s="13" t="s">
        <v>192</v>
      </c>
    </row>
    <row r="14" spans="1:13">
      <c r="A14" s="23">
        <v>45933</v>
      </c>
      <c r="B14" s="24" t="s">
        <v>198</v>
      </c>
      <c r="C14" s="24">
        <v>127.39</v>
      </c>
      <c r="D14" s="8">
        <v>5.85</v>
      </c>
      <c r="E14" s="119">
        <f>INT(C14*D14)</f>
        <v>745</v>
      </c>
      <c r="M14" s="13" t="s">
        <v>193</v>
      </c>
    </row>
    <row r="15" spans="5:13">
      <c r="E15">
        <f>SUM(E13:E14)</f>
        <v>2362</v>
      </c>
      <c r="M15" s="13" t="s">
        <v>194</v>
      </c>
    </row>
    <row r="16" spans="13:13">
      <c r="M16" s="13" t="s">
        <v>195</v>
      </c>
    </row>
    <row r="17" spans="13:13">
      <c r="M17" s="13" t="s">
        <v>200</v>
      </c>
    </row>
  </sheetData>
  <mergeCells count="2">
    <mergeCell ref="G1:H1"/>
    <mergeCell ref="A2:A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A29" sqref="A29:E35"/>
    </sheetView>
  </sheetViews>
  <sheetFormatPr defaultColWidth="9" defaultRowHeight="14.25"/>
  <cols>
    <col min="1" max="1" width="10.1333333333333" customWidth="1"/>
    <col min="5" max="5" width="10.375"/>
  </cols>
  <sheetData>
    <row r="1" ht="20.25" spans="1:8">
      <c r="A1" s="101" t="s">
        <v>0</v>
      </c>
      <c r="B1" s="118" t="s">
        <v>201</v>
      </c>
      <c r="C1" s="53"/>
      <c r="D1" s="66"/>
      <c r="E1" s="41">
        <v>5.95</v>
      </c>
      <c r="F1" s="41"/>
      <c r="G1" s="58"/>
      <c r="H1" s="43"/>
    </row>
    <row r="2" spans="1:12">
      <c r="A2" s="45"/>
      <c r="B2" s="45"/>
      <c r="C2" s="59"/>
      <c r="D2" s="45"/>
      <c r="E2" s="45"/>
      <c r="F2" s="45"/>
      <c r="G2" s="45"/>
      <c r="H2" s="45"/>
      <c r="L2" s="35" t="s">
        <v>202</v>
      </c>
    </row>
    <row r="3" spans="1:12">
      <c r="A3" s="72" t="s">
        <v>3</v>
      </c>
      <c r="B3" s="35" t="s">
        <v>202</v>
      </c>
      <c r="C3" s="65" t="s">
        <v>203</v>
      </c>
      <c r="D3" s="35" t="s">
        <v>204</v>
      </c>
      <c r="E3" s="35" t="s">
        <v>205</v>
      </c>
      <c r="F3" s="35" t="s">
        <v>206</v>
      </c>
      <c r="G3" s="45"/>
      <c r="H3" s="45"/>
      <c r="L3" s="65" t="s">
        <v>203</v>
      </c>
    </row>
    <row r="4" spans="1:12">
      <c r="A4" s="73"/>
      <c r="B4" s="45" t="s">
        <v>207</v>
      </c>
      <c r="C4" s="59"/>
      <c r="D4" s="45"/>
      <c r="E4" s="66"/>
      <c r="F4" s="13"/>
      <c r="G4" s="45"/>
      <c r="H4" s="45"/>
      <c r="L4" s="35" t="s">
        <v>204</v>
      </c>
    </row>
    <row r="5" spans="1:12">
      <c r="A5" s="73"/>
      <c r="B5" s="13"/>
      <c r="C5" s="15"/>
      <c r="D5" s="13"/>
      <c r="E5" s="13"/>
      <c r="F5" s="13"/>
      <c r="G5" s="45"/>
      <c r="H5" s="45"/>
      <c r="L5" s="35" t="s">
        <v>205</v>
      </c>
    </row>
    <row r="6" spans="1:12">
      <c r="A6" s="74"/>
      <c r="B6" s="13"/>
      <c r="C6" s="15"/>
      <c r="D6" s="13"/>
      <c r="E6" s="13"/>
      <c r="F6" s="13"/>
      <c r="G6" s="45"/>
      <c r="H6" s="45"/>
      <c r="L6" s="35" t="s">
        <v>206</v>
      </c>
    </row>
    <row r="7" spans="1:12">
      <c r="A7" s="45"/>
      <c r="B7" s="45"/>
      <c r="C7" s="59"/>
      <c r="D7" s="45"/>
      <c r="E7" s="45"/>
      <c r="F7" s="45"/>
      <c r="G7" s="45"/>
      <c r="H7" s="45"/>
      <c r="L7" s="13" t="s">
        <v>207</v>
      </c>
    </row>
    <row r="8" spans="1:8">
      <c r="A8" s="45"/>
      <c r="B8" s="45"/>
      <c r="C8" s="59"/>
      <c r="D8" s="45"/>
      <c r="E8" s="45"/>
      <c r="F8" s="45"/>
      <c r="G8" s="45"/>
      <c r="H8" s="45"/>
    </row>
    <row r="9" spans="1:8">
      <c r="A9" s="45"/>
      <c r="B9" s="45"/>
      <c r="C9" s="59"/>
      <c r="D9" s="45"/>
      <c r="E9" s="45"/>
      <c r="F9" s="45"/>
      <c r="G9" s="45"/>
      <c r="H9" s="45"/>
    </row>
    <row r="10" spans="1:8">
      <c r="A10" s="17" t="s">
        <v>36</v>
      </c>
      <c r="B10" s="17" t="s">
        <v>37</v>
      </c>
      <c r="C10" s="18" t="s">
        <v>38</v>
      </c>
      <c r="D10" s="17" t="s">
        <v>39</v>
      </c>
      <c r="E10" s="17" t="s">
        <v>40</v>
      </c>
      <c r="F10" s="17" t="s">
        <v>41</v>
      </c>
      <c r="G10" s="17" t="s">
        <v>41</v>
      </c>
      <c r="H10" s="17" t="s">
        <v>41</v>
      </c>
    </row>
    <row r="11" spans="1:5">
      <c r="A11" s="23">
        <v>45923</v>
      </c>
      <c r="B11" s="24" t="s">
        <v>208</v>
      </c>
      <c r="C11" s="24">
        <v>66.19</v>
      </c>
      <c r="D11" s="117">
        <v>5.95</v>
      </c>
      <c r="E11" s="119">
        <f t="shared" ref="E11:E15" si="0">C11*D11</f>
        <v>393.8305</v>
      </c>
    </row>
    <row r="12" spans="1:5">
      <c r="A12" s="23">
        <v>45925</v>
      </c>
      <c r="B12" s="24" t="s">
        <v>209</v>
      </c>
      <c r="C12" s="24">
        <v>89.99</v>
      </c>
      <c r="D12" s="117">
        <v>5.95</v>
      </c>
      <c r="E12" s="119">
        <f t="shared" si="0"/>
        <v>535.4405</v>
      </c>
    </row>
    <row r="13" spans="1:5">
      <c r="A13" s="23">
        <v>45925</v>
      </c>
      <c r="B13" s="24" t="s">
        <v>210</v>
      </c>
      <c r="C13" s="24">
        <v>75.86</v>
      </c>
      <c r="D13" s="117">
        <v>5.95</v>
      </c>
      <c r="E13" s="119">
        <f t="shared" si="0"/>
        <v>451.367</v>
      </c>
    </row>
    <row r="14" spans="1:5">
      <c r="A14" s="23">
        <v>45925</v>
      </c>
      <c r="B14" s="24" t="s">
        <v>211</v>
      </c>
      <c r="C14" s="24">
        <v>60.79</v>
      </c>
      <c r="D14" s="117">
        <v>5.95</v>
      </c>
      <c r="E14" s="119">
        <f t="shared" si="0"/>
        <v>361.7005</v>
      </c>
    </row>
    <row r="15" spans="1:5">
      <c r="A15" s="23">
        <v>45925</v>
      </c>
      <c r="B15" s="24" t="s">
        <v>212</v>
      </c>
      <c r="C15" s="24">
        <v>141.07</v>
      </c>
      <c r="D15" s="117">
        <v>5.95</v>
      </c>
      <c r="E15" s="119">
        <f t="shared" si="0"/>
        <v>839.3665</v>
      </c>
    </row>
    <row r="16" spans="1:5">
      <c r="A16" s="23">
        <v>45926</v>
      </c>
      <c r="B16" s="24" t="s">
        <v>213</v>
      </c>
      <c r="C16" s="24">
        <v>85.79</v>
      </c>
      <c r="D16" s="117">
        <v>5.95</v>
      </c>
      <c r="E16" s="119">
        <f t="shared" ref="E16:E22" si="1">C16*D16</f>
        <v>510.4505</v>
      </c>
    </row>
    <row r="17" spans="1:5">
      <c r="A17" s="23">
        <v>45926</v>
      </c>
      <c r="B17" s="24" t="s">
        <v>208</v>
      </c>
      <c r="C17" s="24">
        <v>49.85</v>
      </c>
      <c r="D17" s="117">
        <v>5.95</v>
      </c>
      <c r="E17" s="119">
        <f t="shared" si="1"/>
        <v>296.6075</v>
      </c>
    </row>
    <row r="18" spans="1:5">
      <c r="A18" s="23">
        <v>45927</v>
      </c>
      <c r="B18" s="24" t="s">
        <v>210</v>
      </c>
      <c r="C18" s="24">
        <v>50.8</v>
      </c>
      <c r="D18" s="117">
        <v>5.95</v>
      </c>
      <c r="E18" s="119">
        <f t="shared" si="1"/>
        <v>302.26</v>
      </c>
    </row>
    <row r="19" spans="1:5">
      <c r="A19" s="23">
        <v>45927</v>
      </c>
      <c r="B19" s="24" t="s">
        <v>210</v>
      </c>
      <c r="C19" s="24">
        <v>77.63</v>
      </c>
      <c r="D19" s="117">
        <v>5.95</v>
      </c>
      <c r="E19" s="119">
        <f t="shared" si="1"/>
        <v>461.8985</v>
      </c>
    </row>
    <row r="20" spans="1:5">
      <c r="A20" s="23">
        <v>45927</v>
      </c>
      <c r="B20" s="24" t="s">
        <v>208</v>
      </c>
      <c r="C20" s="24">
        <v>44.54</v>
      </c>
      <c r="D20" s="117">
        <v>5.95</v>
      </c>
      <c r="E20" s="119">
        <f t="shared" si="1"/>
        <v>265.013</v>
      </c>
    </row>
    <row r="21" spans="1:5">
      <c r="A21" s="23">
        <v>45928</v>
      </c>
      <c r="B21" s="24" t="s">
        <v>209</v>
      </c>
      <c r="C21" s="24">
        <v>91.01</v>
      </c>
      <c r="D21" s="117">
        <v>5.95</v>
      </c>
      <c r="E21" s="119">
        <f t="shared" si="1"/>
        <v>541.5095</v>
      </c>
    </row>
    <row r="22" spans="1:5">
      <c r="A22" s="23">
        <v>45928</v>
      </c>
      <c r="B22" s="24" t="s">
        <v>208</v>
      </c>
      <c r="C22" s="24">
        <v>23.49</v>
      </c>
      <c r="D22" s="117">
        <v>5.95</v>
      </c>
      <c r="E22" s="119">
        <f t="shared" si="1"/>
        <v>139.7655</v>
      </c>
    </row>
    <row r="23" spans="1:5">
      <c r="A23" s="23">
        <v>45929</v>
      </c>
      <c r="B23" s="24" t="s">
        <v>208</v>
      </c>
      <c r="C23" s="24">
        <v>54.06</v>
      </c>
      <c r="D23" s="117">
        <v>5.95</v>
      </c>
      <c r="E23" s="119">
        <f t="shared" ref="E23:E28" si="2">C23*D23</f>
        <v>321.657</v>
      </c>
    </row>
    <row r="24" spans="1:5">
      <c r="A24" s="23">
        <v>45930</v>
      </c>
      <c r="B24" s="24" t="s">
        <v>210</v>
      </c>
      <c r="C24" s="24">
        <v>102.67</v>
      </c>
      <c r="D24" s="117">
        <v>5.95</v>
      </c>
      <c r="E24" s="119">
        <f t="shared" si="2"/>
        <v>610.8865</v>
      </c>
    </row>
    <row r="25" spans="1:5">
      <c r="A25" s="23">
        <v>45930</v>
      </c>
      <c r="B25" s="24" t="s">
        <v>211</v>
      </c>
      <c r="C25" s="24">
        <v>56.29</v>
      </c>
      <c r="D25" s="117">
        <v>5.95</v>
      </c>
      <c r="E25" s="119">
        <f t="shared" si="2"/>
        <v>334.9255</v>
      </c>
    </row>
    <row r="26" spans="1:5">
      <c r="A26" s="23">
        <v>45930</v>
      </c>
      <c r="B26" s="24" t="s">
        <v>208</v>
      </c>
      <c r="C26" s="24">
        <v>60.02</v>
      </c>
      <c r="D26" s="117">
        <v>5.95</v>
      </c>
      <c r="E26" s="119">
        <f t="shared" si="2"/>
        <v>357.119</v>
      </c>
    </row>
    <row r="27" spans="1:5">
      <c r="A27" s="23">
        <v>45931</v>
      </c>
      <c r="B27" s="24" t="s">
        <v>209</v>
      </c>
      <c r="C27" s="24">
        <v>89.1</v>
      </c>
      <c r="D27" s="117">
        <v>5.95</v>
      </c>
      <c r="E27" s="119">
        <f t="shared" si="2"/>
        <v>530.145</v>
      </c>
    </row>
    <row r="28" spans="1:5">
      <c r="A28" s="23">
        <v>45931</v>
      </c>
      <c r="B28" s="24" t="s">
        <v>212</v>
      </c>
      <c r="C28" s="24">
        <v>135.43</v>
      </c>
      <c r="D28" s="117">
        <v>5.95</v>
      </c>
      <c r="E28" s="119">
        <f t="shared" si="2"/>
        <v>805.8085</v>
      </c>
    </row>
    <row r="29" spans="1:5">
      <c r="A29" s="23">
        <v>45932</v>
      </c>
      <c r="B29" s="24" t="s">
        <v>210</v>
      </c>
      <c r="C29" s="24">
        <v>83.64</v>
      </c>
      <c r="D29" s="117">
        <v>5.95</v>
      </c>
      <c r="E29" s="119">
        <f t="shared" ref="E29:E34" si="3">C29*D29</f>
        <v>497.658</v>
      </c>
    </row>
    <row r="30" spans="1:5">
      <c r="A30" s="23">
        <v>45932</v>
      </c>
      <c r="B30" s="24" t="s">
        <v>213</v>
      </c>
      <c r="C30" s="24">
        <v>71.54</v>
      </c>
      <c r="D30" s="117">
        <v>5.95</v>
      </c>
      <c r="E30" s="119">
        <f t="shared" si="3"/>
        <v>425.663</v>
      </c>
    </row>
    <row r="31" spans="1:5">
      <c r="A31" s="23">
        <v>45932</v>
      </c>
      <c r="B31" s="24" t="s">
        <v>208</v>
      </c>
      <c r="C31" s="24">
        <v>61.4</v>
      </c>
      <c r="D31" s="117">
        <v>5.95</v>
      </c>
      <c r="E31" s="119">
        <f t="shared" si="3"/>
        <v>365.33</v>
      </c>
    </row>
    <row r="32" spans="1:5">
      <c r="A32" s="23">
        <v>45934</v>
      </c>
      <c r="B32" s="24" t="s">
        <v>210</v>
      </c>
      <c r="C32" s="24">
        <v>91.5</v>
      </c>
      <c r="D32" s="117">
        <v>5.95</v>
      </c>
      <c r="E32" s="119">
        <f t="shared" si="3"/>
        <v>544.425</v>
      </c>
    </row>
    <row r="33" spans="1:5">
      <c r="A33" s="23">
        <v>45934</v>
      </c>
      <c r="B33" s="24" t="s">
        <v>213</v>
      </c>
      <c r="C33" s="24">
        <v>83.46</v>
      </c>
      <c r="D33" s="117">
        <v>5.95</v>
      </c>
      <c r="E33" s="119">
        <f t="shared" si="3"/>
        <v>496.587</v>
      </c>
    </row>
    <row r="34" spans="1:5">
      <c r="A34" s="23">
        <v>45934</v>
      </c>
      <c r="B34" s="24" t="s">
        <v>208</v>
      </c>
      <c r="C34" s="24">
        <v>44.15</v>
      </c>
      <c r="D34" s="117">
        <v>5.95</v>
      </c>
      <c r="E34" s="119">
        <f t="shared" si="3"/>
        <v>262.6925</v>
      </c>
    </row>
    <row r="35" spans="5:5">
      <c r="E35">
        <f>SUM(E29:E34)</f>
        <v>2592.3555</v>
      </c>
    </row>
  </sheetData>
  <mergeCells count="1">
    <mergeCell ref="A3:A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6" sqref="A16:E18"/>
    </sheetView>
  </sheetViews>
  <sheetFormatPr defaultColWidth="9" defaultRowHeight="14.25"/>
  <cols>
    <col min="1" max="1" width="10.1333333333333" customWidth="1"/>
  </cols>
  <sheetData>
    <row r="1" ht="22.5" spans="1:8">
      <c r="A1" s="64" t="s">
        <v>0</v>
      </c>
      <c r="B1" s="38" t="s">
        <v>214</v>
      </c>
      <c r="C1" s="53"/>
      <c r="D1" s="5"/>
      <c r="E1" s="41">
        <v>5.85</v>
      </c>
      <c r="F1" s="41"/>
      <c r="G1" s="58"/>
      <c r="H1" s="43"/>
    </row>
    <row r="2" spans="1:8">
      <c r="A2" s="45"/>
      <c r="B2" s="45"/>
      <c r="C2" s="59"/>
      <c r="D2" s="45"/>
      <c r="E2" s="45"/>
      <c r="F2" s="45"/>
      <c r="G2" s="45"/>
      <c r="H2" s="45"/>
    </row>
    <row r="3" spans="1:8">
      <c r="A3" s="72" t="s">
        <v>3</v>
      </c>
      <c r="B3" s="47" t="s">
        <v>215</v>
      </c>
      <c r="C3" s="55" t="s">
        <v>216</v>
      </c>
      <c r="D3" s="47" t="s">
        <v>217</v>
      </c>
      <c r="E3" s="47" t="s">
        <v>218</v>
      </c>
      <c r="F3" s="35"/>
      <c r="G3" s="45"/>
      <c r="H3" s="45"/>
    </row>
    <row r="4" spans="1:13">
      <c r="A4" s="73"/>
      <c r="B4" s="35"/>
      <c r="C4" s="65"/>
      <c r="D4" s="47"/>
      <c r="E4" s="66"/>
      <c r="F4" s="66"/>
      <c r="G4" s="45"/>
      <c r="H4" s="45"/>
      <c r="M4" s="47" t="s">
        <v>215</v>
      </c>
    </row>
    <row r="5" spans="1:13">
      <c r="A5" s="73"/>
      <c r="B5" s="47"/>
      <c r="C5" s="55"/>
      <c r="D5" s="47"/>
      <c r="E5" s="47"/>
      <c r="F5" s="47"/>
      <c r="G5" s="45"/>
      <c r="H5" s="45"/>
      <c r="M5" s="55" t="s">
        <v>216</v>
      </c>
    </row>
    <row r="6" spans="1:13">
      <c r="A6" s="73"/>
      <c r="B6" s="47"/>
      <c r="C6" s="55"/>
      <c r="D6" s="47"/>
      <c r="E6" s="47"/>
      <c r="F6" s="47"/>
      <c r="G6" s="45"/>
      <c r="H6" s="45"/>
      <c r="M6" s="47" t="s">
        <v>217</v>
      </c>
    </row>
    <row r="7" spans="1:13">
      <c r="A7" s="73"/>
      <c r="B7" s="47"/>
      <c r="C7" s="55"/>
      <c r="D7" s="35"/>
      <c r="E7" s="47"/>
      <c r="F7" s="47"/>
      <c r="G7" s="45"/>
      <c r="H7" s="45"/>
      <c r="M7" s="47" t="s">
        <v>218</v>
      </c>
    </row>
    <row r="8" spans="1:8">
      <c r="A8" s="73"/>
      <c r="B8" s="47"/>
      <c r="C8" s="55"/>
      <c r="D8" s="47"/>
      <c r="E8" s="47"/>
      <c r="F8" s="47"/>
      <c r="G8" s="45"/>
      <c r="H8" s="45"/>
    </row>
    <row r="9" spans="1:8">
      <c r="A9" s="74"/>
      <c r="B9" s="47"/>
      <c r="C9" s="55"/>
      <c r="D9" s="47"/>
      <c r="E9" s="35"/>
      <c r="F9" s="35"/>
      <c r="G9" s="45"/>
      <c r="H9" s="45"/>
    </row>
    <row r="11" spans="1:8">
      <c r="A11" s="17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7">
      <c r="A12" s="23">
        <v>45926</v>
      </c>
      <c r="B12" s="24" t="s">
        <v>219</v>
      </c>
      <c r="C12" s="24">
        <v>300</v>
      </c>
      <c r="D12" s="117">
        <v>5.75</v>
      </c>
      <c r="E12" s="8">
        <f t="shared" ref="E12:E17" si="0">INT(C12*D12)</f>
        <v>1725</v>
      </c>
      <c r="G12" s="107"/>
    </row>
    <row r="13" spans="1:5">
      <c r="A13" s="23">
        <v>45928</v>
      </c>
      <c r="B13" s="24" t="s">
        <v>220</v>
      </c>
      <c r="C13" s="24">
        <v>200</v>
      </c>
      <c r="D13" s="117">
        <v>5.85</v>
      </c>
      <c r="E13" s="8">
        <f t="shared" si="0"/>
        <v>1170</v>
      </c>
    </row>
    <row r="14" spans="1:5">
      <c r="A14" s="23">
        <v>45929</v>
      </c>
      <c r="B14" s="24" t="s">
        <v>219</v>
      </c>
      <c r="C14" s="24">
        <v>400</v>
      </c>
      <c r="D14" s="117">
        <v>5.85</v>
      </c>
      <c r="E14" s="8">
        <f t="shared" si="0"/>
        <v>2340</v>
      </c>
    </row>
    <row r="15" spans="1:5">
      <c r="A15" s="23">
        <v>45930</v>
      </c>
      <c r="B15" s="24" t="s">
        <v>219</v>
      </c>
      <c r="C15" s="24">
        <v>686</v>
      </c>
      <c r="D15" s="117">
        <v>5.85</v>
      </c>
      <c r="E15" s="8">
        <f t="shared" si="0"/>
        <v>4013</v>
      </c>
    </row>
    <row r="16" spans="1:5">
      <c r="A16" s="23">
        <v>45933</v>
      </c>
      <c r="B16" s="24" t="s">
        <v>219</v>
      </c>
      <c r="C16" s="24">
        <v>440</v>
      </c>
      <c r="D16" s="117">
        <v>5.85</v>
      </c>
      <c r="E16" s="8">
        <f t="shared" si="0"/>
        <v>2574</v>
      </c>
    </row>
    <row r="17" spans="1:5">
      <c r="A17" s="23">
        <v>45934</v>
      </c>
      <c r="B17" s="24" t="s">
        <v>220</v>
      </c>
      <c r="C17" s="24">
        <v>150</v>
      </c>
      <c r="D17" s="117">
        <v>5.85</v>
      </c>
      <c r="E17" s="8">
        <f t="shared" si="0"/>
        <v>877</v>
      </c>
    </row>
    <row r="18" spans="5:5">
      <c r="E18">
        <f>SUM(E16:E17)</f>
        <v>3451</v>
      </c>
    </row>
  </sheetData>
  <mergeCells count="1">
    <mergeCell ref="A3:A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3" sqref="A13:E15"/>
    </sheetView>
  </sheetViews>
  <sheetFormatPr defaultColWidth="9" defaultRowHeight="14.25"/>
  <cols>
    <col min="1" max="1" width="10.0666666666667" customWidth="1"/>
  </cols>
  <sheetData>
    <row r="1" ht="22.5" spans="1:6">
      <c r="A1" s="101" t="s">
        <v>0</v>
      </c>
      <c r="B1" s="38" t="s">
        <v>221</v>
      </c>
      <c r="C1" s="53"/>
      <c r="D1" s="45"/>
      <c r="E1" s="5"/>
      <c r="F1" s="41">
        <v>5.95</v>
      </c>
    </row>
    <row r="2" spans="1:6">
      <c r="A2" s="114" t="s">
        <v>3</v>
      </c>
      <c r="B2" s="35" t="s">
        <v>222</v>
      </c>
      <c r="C2" s="108" t="s">
        <v>223</v>
      </c>
      <c r="D2" s="35" t="s">
        <v>224</v>
      </c>
      <c r="E2" s="13"/>
      <c r="F2" s="45"/>
    </row>
    <row r="3" spans="1:6">
      <c r="A3" s="115"/>
      <c r="B3" s="13"/>
      <c r="C3" s="15"/>
      <c r="D3" s="13"/>
      <c r="E3" s="13"/>
      <c r="F3" s="45"/>
    </row>
    <row r="4" spans="1:12">
      <c r="A4" s="115"/>
      <c r="B4" s="35"/>
      <c r="C4" s="65"/>
      <c r="D4" s="35"/>
      <c r="E4" s="13"/>
      <c r="F4" s="45"/>
      <c r="L4" s="35" t="s">
        <v>222</v>
      </c>
    </row>
    <row r="5" spans="1:12">
      <c r="A5" s="115"/>
      <c r="B5" s="13"/>
      <c r="C5" s="15"/>
      <c r="D5" s="13"/>
      <c r="E5" s="35"/>
      <c r="F5" s="45"/>
      <c r="L5" s="108" t="s">
        <v>223</v>
      </c>
    </row>
    <row r="6" spans="1:12">
      <c r="A6" s="116"/>
      <c r="B6" s="13"/>
      <c r="C6" s="15"/>
      <c r="D6" s="13"/>
      <c r="E6" s="13"/>
      <c r="F6" s="45"/>
      <c r="L6" s="35" t="s">
        <v>224</v>
      </c>
    </row>
    <row r="8" spans="1:8">
      <c r="A8" s="17" t="s">
        <v>36</v>
      </c>
      <c r="B8" s="17" t="s">
        <v>37</v>
      </c>
      <c r="C8" s="18" t="s">
        <v>38</v>
      </c>
      <c r="D8" s="17" t="s">
        <v>39</v>
      </c>
      <c r="E8" s="17" t="s">
        <v>40</v>
      </c>
      <c r="F8" s="17" t="s">
        <v>41</v>
      </c>
      <c r="G8" s="17" t="s">
        <v>41</v>
      </c>
      <c r="H8" s="17" t="s">
        <v>41</v>
      </c>
    </row>
    <row r="9" spans="1:5">
      <c r="A9" s="23">
        <v>45923</v>
      </c>
      <c r="B9" s="24" t="s">
        <v>225</v>
      </c>
      <c r="C9" s="24">
        <v>75.76</v>
      </c>
      <c r="D9" s="8">
        <v>5.95</v>
      </c>
      <c r="E9" s="8">
        <f t="shared" ref="E9:E14" si="0">INT(C9*D9)</f>
        <v>450</v>
      </c>
    </row>
    <row r="10" spans="1:5">
      <c r="A10" s="23">
        <v>45923</v>
      </c>
      <c r="B10" s="24" t="s">
        <v>226</v>
      </c>
      <c r="C10" s="24">
        <v>45.12</v>
      </c>
      <c r="D10" s="8">
        <v>5.95</v>
      </c>
      <c r="E10" s="8">
        <f t="shared" si="0"/>
        <v>268</v>
      </c>
    </row>
    <row r="11" spans="1:5">
      <c r="A11" s="23">
        <v>45927</v>
      </c>
      <c r="B11" s="24" t="s">
        <v>226</v>
      </c>
      <c r="C11" s="24">
        <v>48.48</v>
      </c>
      <c r="D11" s="8">
        <v>5.95</v>
      </c>
      <c r="E11" s="8">
        <f t="shared" si="0"/>
        <v>288</v>
      </c>
    </row>
    <row r="12" spans="1:5">
      <c r="A12" s="23">
        <v>45930</v>
      </c>
      <c r="B12" s="24" t="s">
        <v>225</v>
      </c>
      <c r="C12" s="24">
        <v>71.91</v>
      </c>
      <c r="D12" s="8">
        <v>5.95</v>
      </c>
      <c r="E12" s="8">
        <f t="shared" si="0"/>
        <v>427</v>
      </c>
    </row>
    <row r="13" spans="1:5">
      <c r="A13" s="23">
        <v>45932</v>
      </c>
      <c r="B13" s="24" t="s">
        <v>226</v>
      </c>
      <c r="C13" s="24">
        <v>52.7</v>
      </c>
      <c r="D13" s="8">
        <v>5.95</v>
      </c>
      <c r="E13" s="8">
        <f t="shared" si="0"/>
        <v>313</v>
      </c>
    </row>
    <row r="14" spans="1:5">
      <c r="A14" s="23">
        <v>45934</v>
      </c>
      <c r="B14" s="24" t="s">
        <v>225</v>
      </c>
      <c r="C14" s="24">
        <v>65.84</v>
      </c>
      <c r="D14" s="8">
        <v>5.95</v>
      </c>
      <c r="E14" s="8">
        <f t="shared" si="0"/>
        <v>391</v>
      </c>
    </row>
    <row r="15" spans="5:5">
      <c r="E15">
        <f>SUM(E13:E14)</f>
        <v>704</v>
      </c>
    </row>
  </sheetData>
  <mergeCells count="1">
    <mergeCell ref="A2:A6"/>
  </mergeCells>
  <conditionalFormatting sqref="F1">
    <cfRule type="duplicateValues" dxfId="2" priority="1" stopIfTrue="1"/>
  </conditionalFormatting>
  <conditionalFormatting sqref="B2:D2">
    <cfRule type="duplicateValues" dxfId="2" priority="5" stopIfTrue="1"/>
  </conditionalFormatting>
  <conditionalFormatting sqref="L4:L6">
    <cfRule type="duplicateValues" dxfId="2" priority="2" stopIfTrue="1"/>
    <cfRule type="duplicateValues" dxfId="2" priority="3" stopIfTrue="1"/>
  </conditionalFormatting>
  <conditionalFormatting sqref="B2:D2 E5 B4:E4">
    <cfRule type="duplicateValues" dxfId="2" priority="4" stopIfTrue="1"/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2" sqref="A12:E14"/>
    </sheetView>
  </sheetViews>
  <sheetFormatPr defaultColWidth="9" defaultRowHeight="14.25"/>
  <cols>
    <col min="1" max="1" width="10" customWidth="1"/>
  </cols>
  <sheetData>
    <row r="1" ht="22.5" spans="1:11">
      <c r="A1" s="101" t="s">
        <v>0</v>
      </c>
      <c r="B1" s="38" t="s">
        <v>227</v>
      </c>
      <c r="C1" s="53"/>
      <c r="D1" s="5"/>
      <c r="E1" s="41">
        <v>5.85</v>
      </c>
      <c r="F1" s="41"/>
      <c r="K1" t="str" cm="1">
        <f t="array" ref="K1:K16">_xlfn.TOCOL(B2:E5)</f>
        <v>粤V05706</v>
      </c>
    </row>
    <row r="2" spans="1:11">
      <c r="A2" s="102" t="s">
        <v>3</v>
      </c>
      <c r="B2" s="47" t="s">
        <v>228</v>
      </c>
      <c r="C2" s="108" t="s">
        <v>229</v>
      </c>
      <c r="D2" s="47" t="s">
        <v>230</v>
      </c>
      <c r="E2" s="109" t="s">
        <v>231</v>
      </c>
      <c r="F2" s="13"/>
      <c r="K2" t="str">
        <v>赣C8M199</v>
      </c>
    </row>
    <row r="3" spans="1:11">
      <c r="A3" s="56"/>
      <c r="B3" s="66" t="s">
        <v>232</v>
      </c>
      <c r="C3" s="110" t="s">
        <v>233</v>
      </c>
      <c r="D3" s="109" t="s">
        <v>234</v>
      </c>
      <c r="E3" s="111" t="s">
        <v>235</v>
      </c>
      <c r="F3" s="13"/>
      <c r="K3" t="str">
        <v>赣FD3778</v>
      </c>
    </row>
    <row r="4" spans="1:11">
      <c r="A4" s="56"/>
      <c r="B4" s="47" t="s">
        <v>236</v>
      </c>
      <c r="C4" s="55" t="s">
        <v>237</v>
      </c>
      <c r="D4" s="47" t="s">
        <v>238</v>
      </c>
      <c r="E4" s="112" t="s">
        <v>239</v>
      </c>
      <c r="F4" s="13"/>
      <c r="K4" t="str">
        <v>赣C6M785</v>
      </c>
    </row>
    <row r="5" spans="1:11">
      <c r="A5" s="56"/>
      <c r="B5" s="13" t="s">
        <v>240</v>
      </c>
      <c r="C5" s="15"/>
      <c r="D5" s="13"/>
      <c r="E5" s="113"/>
      <c r="F5" s="13"/>
      <c r="K5" t="str">
        <v>粤V38898</v>
      </c>
    </row>
    <row r="6" spans="1:11">
      <c r="A6" s="106"/>
      <c r="B6" s="13"/>
      <c r="C6" s="15"/>
      <c r="D6" s="13"/>
      <c r="E6" s="112"/>
      <c r="F6" s="13"/>
      <c r="K6" t="str">
        <v>粤VN2612</v>
      </c>
    </row>
    <row r="7" spans="11:11">
      <c r="K7" t="str">
        <v>粤VU6120</v>
      </c>
    </row>
    <row r="8" spans="11:11">
      <c r="K8" t="str">
        <v>赣CT4166</v>
      </c>
    </row>
    <row r="9" spans="1:11">
      <c r="A9" s="17" t="s">
        <v>36</v>
      </c>
      <c r="B9" s="17" t="s">
        <v>37</v>
      </c>
      <c r="C9" s="18" t="s">
        <v>38</v>
      </c>
      <c r="D9" s="17" t="s">
        <v>39</v>
      </c>
      <c r="E9" s="17" t="s">
        <v>40</v>
      </c>
      <c r="F9" s="17" t="s">
        <v>41</v>
      </c>
      <c r="G9" s="17" t="s">
        <v>41</v>
      </c>
      <c r="H9" s="17" t="s">
        <v>41</v>
      </c>
      <c r="K9" t="str">
        <v>赣CQ5137</v>
      </c>
    </row>
    <row r="10" spans="1:11">
      <c r="A10" s="23">
        <v>45927</v>
      </c>
      <c r="B10" s="24" t="s">
        <v>241</v>
      </c>
      <c r="C10" s="24">
        <v>304.17</v>
      </c>
      <c r="D10" s="19">
        <v>5.75</v>
      </c>
      <c r="E10" s="8">
        <f t="shared" ref="E10:E13" si="0">INT(C10*D10)</f>
        <v>1748</v>
      </c>
      <c r="G10" s="107"/>
      <c r="K10" t="str">
        <v>赣C2P305</v>
      </c>
    </row>
    <row r="11" spans="1:11">
      <c r="A11" s="23">
        <v>45929</v>
      </c>
      <c r="B11" s="24" t="s">
        <v>242</v>
      </c>
      <c r="C11" s="24">
        <v>361.52</v>
      </c>
      <c r="D11" s="8">
        <v>5.85</v>
      </c>
      <c r="E11" s="8">
        <f t="shared" si="0"/>
        <v>2114</v>
      </c>
      <c r="K11" t="str">
        <v>赣C33883</v>
      </c>
    </row>
    <row r="12" spans="1:11">
      <c r="A12" s="23">
        <v>45933</v>
      </c>
      <c r="B12" s="24" t="s">
        <v>243</v>
      </c>
      <c r="C12" s="24">
        <v>470</v>
      </c>
      <c r="D12" s="8">
        <v>5.85</v>
      </c>
      <c r="E12" s="8">
        <f t="shared" si="0"/>
        <v>2749</v>
      </c>
      <c r="K12" t="str">
        <v>粤VV9213</v>
      </c>
    </row>
    <row r="13" spans="1:11">
      <c r="A13" s="23">
        <v>45934</v>
      </c>
      <c r="B13" s="24" t="s">
        <v>244</v>
      </c>
      <c r="C13" s="24">
        <v>171.31</v>
      </c>
      <c r="D13" s="8">
        <v>5.85</v>
      </c>
      <c r="E13" s="8">
        <f t="shared" si="0"/>
        <v>1002</v>
      </c>
      <c r="K13" t="str">
        <v>粤V64282</v>
      </c>
    </row>
    <row r="14" spans="5:11">
      <c r="E14">
        <f>SUM(E12:E13)</f>
        <v>3751</v>
      </c>
      <c r="K14">
        <v>0</v>
      </c>
    </row>
    <row r="15" spans="11:11">
      <c r="K15">
        <v>0</v>
      </c>
    </row>
    <row r="16" spans="11:11">
      <c r="K16">
        <v>0</v>
      </c>
    </row>
  </sheetData>
  <mergeCells count="1">
    <mergeCell ref="A2:A6"/>
  </mergeCells>
  <conditionalFormatting sqref="E1">
    <cfRule type="duplicateValues" dxfId="2" priority="1" stopIfTrue="1"/>
  </conditionalFormatting>
  <conditionalFormatting sqref="F1">
    <cfRule type="duplicateValues" dxfId="2" priority="2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3" sqref="A13:E13"/>
    </sheetView>
  </sheetViews>
  <sheetFormatPr defaultColWidth="9" defaultRowHeight="14.25"/>
  <cols>
    <col min="1" max="1" width="10.7333333333333" customWidth="1"/>
  </cols>
  <sheetData>
    <row r="1" ht="22.5" spans="1:6">
      <c r="A1" s="101" t="s">
        <v>0</v>
      </c>
      <c r="B1" s="38" t="s">
        <v>245</v>
      </c>
      <c r="C1" s="53"/>
      <c r="D1" s="5"/>
      <c r="E1" s="41">
        <v>5.85</v>
      </c>
      <c r="F1" s="41"/>
    </row>
    <row r="2" spans="1:12">
      <c r="A2" s="102" t="s">
        <v>246</v>
      </c>
      <c r="B2" s="103" t="s">
        <v>247</v>
      </c>
      <c r="C2" s="104" t="s">
        <v>248</v>
      </c>
      <c r="D2" s="103" t="s">
        <v>249</v>
      </c>
      <c r="E2" s="5" t="s">
        <v>250</v>
      </c>
      <c r="F2" s="45"/>
      <c r="L2" t="str" cm="1">
        <f t="array" ref="L2:L13">_xlfn.TOCOL(B2:E4)</f>
        <v>豫PJ7893</v>
      </c>
    </row>
    <row r="3" spans="1:12">
      <c r="A3" s="56"/>
      <c r="B3" s="5" t="s">
        <v>251</v>
      </c>
      <c r="C3" s="51" t="s">
        <v>252</v>
      </c>
      <c r="D3" s="5" t="s">
        <v>253</v>
      </c>
      <c r="E3" s="5" t="s">
        <v>254</v>
      </c>
      <c r="F3" s="45"/>
      <c r="L3" t="str">
        <v>豫PR0319</v>
      </c>
    </row>
    <row r="4" spans="1:12">
      <c r="A4" s="56"/>
      <c r="B4" s="103" t="s">
        <v>255</v>
      </c>
      <c r="C4" s="105" t="s">
        <v>256</v>
      </c>
      <c r="D4" s="103" t="s">
        <v>257</v>
      </c>
      <c r="E4" s="13"/>
      <c r="F4" s="45"/>
      <c r="L4" t="str">
        <v>豫PM5385</v>
      </c>
    </row>
    <row r="5" spans="1:12">
      <c r="A5" s="56"/>
      <c r="B5" s="13"/>
      <c r="C5" s="15"/>
      <c r="D5" s="13"/>
      <c r="E5" s="35"/>
      <c r="F5" s="45"/>
      <c r="L5" t="str">
        <v>豫NE0896</v>
      </c>
    </row>
    <row r="6" spans="1:12">
      <c r="A6" s="106"/>
      <c r="B6" s="13"/>
      <c r="C6" s="15"/>
      <c r="D6" s="13"/>
      <c r="E6" s="13"/>
      <c r="F6" s="45"/>
      <c r="L6" t="str">
        <v>豫PV7029</v>
      </c>
    </row>
    <row r="7" spans="12:12">
      <c r="L7" t="str">
        <v>豫PK1230</v>
      </c>
    </row>
    <row r="8" spans="12:12">
      <c r="L8" t="str">
        <v>豫LL9613</v>
      </c>
    </row>
    <row r="9" spans="1:12">
      <c r="A9" s="17" t="s">
        <v>36</v>
      </c>
      <c r="B9" s="17" t="s">
        <v>37</v>
      </c>
      <c r="C9" s="18" t="s">
        <v>38</v>
      </c>
      <c r="D9" s="17" t="s">
        <v>39</v>
      </c>
      <c r="E9" s="17" t="s">
        <v>40</v>
      </c>
      <c r="F9" s="17" t="s">
        <v>41</v>
      </c>
      <c r="G9" s="17" t="s">
        <v>41</v>
      </c>
      <c r="H9" s="17" t="s">
        <v>41</v>
      </c>
      <c r="L9" t="str">
        <v>豫PY7588</v>
      </c>
    </row>
    <row r="10" spans="1:12">
      <c r="A10" s="23">
        <v>45927</v>
      </c>
      <c r="B10" s="24" t="s">
        <v>258</v>
      </c>
      <c r="C10" s="24">
        <v>484.02</v>
      </c>
      <c r="D10" s="19">
        <v>5.75</v>
      </c>
      <c r="E10" s="8">
        <f t="shared" ref="E10:E13" si="0">INT(C10*D10)</f>
        <v>2783</v>
      </c>
      <c r="G10" s="107"/>
      <c r="L10" t="str">
        <v>豫D3E82挂</v>
      </c>
    </row>
    <row r="11" spans="1:12">
      <c r="A11" s="23">
        <v>45927</v>
      </c>
      <c r="B11" s="24" t="s">
        <v>259</v>
      </c>
      <c r="C11" s="24">
        <v>471</v>
      </c>
      <c r="D11" s="19">
        <v>5.75</v>
      </c>
      <c r="E11" s="8">
        <f t="shared" si="0"/>
        <v>2708</v>
      </c>
      <c r="L11" t="str">
        <v>豫PR5898</v>
      </c>
    </row>
    <row r="12" spans="1:12">
      <c r="A12" s="23">
        <v>45929</v>
      </c>
      <c r="B12" s="24" t="s">
        <v>258</v>
      </c>
      <c r="C12" s="24">
        <v>510</v>
      </c>
      <c r="D12" s="8">
        <v>5.85</v>
      </c>
      <c r="E12" s="8">
        <f t="shared" si="0"/>
        <v>2983</v>
      </c>
      <c r="L12" t="str">
        <v>粤DR0325</v>
      </c>
    </row>
    <row r="13" spans="1:12">
      <c r="A13" s="23">
        <v>45933</v>
      </c>
      <c r="B13" s="24" t="s">
        <v>258</v>
      </c>
      <c r="C13" s="24">
        <v>535</v>
      </c>
      <c r="D13" s="8">
        <v>5.85</v>
      </c>
      <c r="E13" s="8">
        <f t="shared" si="0"/>
        <v>3129</v>
      </c>
      <c r="L13">
        <v>0</v>
      </c>
    </row>
  </sheetData>
  <mergeCells count="1">
    <mergeCell ref="A2:A6"/>
  </mergeCells>
  <conditionalFormatting sqref="E1">
    <cfRule type="duplicateValues" dxfId="2" priority="1" stopIfTrue="1"/>
  </conditionalFormatting>
  <conditionalFormatting sqref="F1">
    <cfRule type="duplicateValues" dxfId="2" priority="2" stopIfTrue="1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M5" sqref="M5:M10"/>
    </sheetView>
  </sheetViews>
  <sheetFormatPr defaultColWidth="9" defaultRowHeight="14.25"/>
  <sheetData>
    <row r="1" ht="20.25" spans="1:7">
      <c r="A1" s="1" t="s">
        <v>0</v>
      </c>
      <c r="B1" s="2" t="s">
        <v>260</v>
      </c>
      <c r="C1" s="3"/>
      <c r="D1" s="4"/>
      <c r="E1" s="5"/>
      <c r="F1" s="6">
        <v>5.85</v>
      </c>
      <c r="G1" s="7"/>
    </row>
    <row r="2" spans="1:7">
      <c r="A2" s="21" t="s">
        <v>261</v>
      </c>
      <c r="B2" s="10" t="s">
        <v>262</v>
      </c>
      <c r="C2" s="22" t="s">
        <v>263</v>
      </c>
      <c r="D2" s="10" t="s">
        <v>264</v>
      </c>
      <c r="E2" s="10" t="s">
        <v>265</v>
      </c>
      <c r="F2" s="8" t="s">
        <v>266</v>
      </c>
      <c r="G2" s="8"/>
    </row>
    <row r="3" spans="1:7">
      <c r="A3" s="12"/>
      <c r="B3" s="8"/>
      <c r="C3" s="8"/>
      <c r="D3" s="13"/>
      <c r="E3" s="13"/>
      <c r="F3" s="13"/>
      <c r="G3" s="13"/>
    </row>
    <row r="4" spans="1:7">
      <c r="A4" s="14"/>
      <c r="B4" s="13"/>
      <c r="C4" s="15"/>
      <c r="D4" s="13"/>
      <c r="E4" s="13"/>
      <c r="F4" s="13"/>
      <c r="G4" s="13"/>
    </row>
    <row r="5" spans="1:13">
      <c r="A5" s="14"/>
      <c r="B5" s="13"/>
      <c r="C5" s="15"/>
      <c r="D5" s="13"/>
      <c r="E5" s="13"/>
      <c r="F5" s="13"/>
      <c r="G5" s="13"/>
      <c r="M5" s="21" t="s">
        <v>261</v>
      </c>
    </row>
    <row r="6" spans="1:13">
      <c r="A6" s="14"/>
      <c r="B6" s="13"/>
      <c r="C6" s="15"/>
      <c r="D6" s="13"/>
      <c r="E6" s="13"/>
      <c r="F6" s="13"/>
      <c r="G6" s="13"/>
      <c r="M6" s="10" t="s">
        <v>262</v>
      </c>
    </row>
    <row r="7" spans="1:13">
      <c r="A7" s="14"/>
      <c r="B7" s="13"/>
      <c r="C7" s="15"/>
      <c r="D7" s="13"/>
      <c r="E7" s="13"/>
      <c r="F7" s="13"/>
      <c r="G7" s="13"/>
      <c r="M7" s="22" t="s">
        <v>263</v>
      </c>
    </row>
    <row r="8" spans="1:13">
      <c r="A8" s="14"/>
      <c r="B8" s="13"/>
      <c r="C8" s="15"/>
      <c r="D8" s="13"/>
      <c r="E8" s="13"/>
      <c r="F8" s="13"/>
      <c r="G8" s="13"/>
      <c r="M8" s="10" t="s">
        <v>264</v>
      </c>
    </row>
    <row r="9" spans="1:13">
      <c r="A9" s="14"/>
      <c r="B9" s="13"/>
      <c r="C9" s="15"/>
      <c r="D9" s="13"/>
      <c r="E9" s="13"/>
      <c r="F9" s="13"/>
      <c r="G9" s="13"/>
      <c r="M9" s="10" t="s">
        <v>265</v>
      </c>
    </row>
    <row r="10" spans="1:13">
      <c r="A10" s="31"/>
      <c r="M10" s="8" t="s">
        <v>266</v>
      </c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4:5">
      <c r="D12" s="8"/>
      <c r="E12" s="8">
        <f t="shared" ref="E12" si="0">INT(C12*D12)</f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T22" sqref="T22"/>
    </sheetView>
  </sheetViews>
  <sheetFormatPr defaultColWidth="9" defaultRowHeight="14.25"/>
  <sheetData>
    <row r="1" ht="22.5" spans="1:14">
      <c r="A1" s="89" t="s">
        <v>0</v>
      </c>
      <c r="B1" s="38" t="s">
        <v>267</v>
      </c>
      <c r="C1" s="53"/>
      <c r="D1" s="5"/>
      <c r="E1" s="27" t="s">
        <v>2</v>
      </c>
      <c r="F1" s="41"/>
      <c r="G1" s="6"/>
      <c r="H1" s="90"/>
      <c r="I1" s="47" t="s">
        <v>268</v>
      </c>
      <c r="J1" s="17"/>
      <c r="N1" t="str" cm="1">
        <f t="array" ref="N1:N50">_xlfn.TOCOL(B3:F12)</f>
        <v>粤V9062挂</v>
      </c>
    </row>
    <row r="2" spans="1:14">
      <c r="A2" s="14"/>
      <c r="B2" s="13"/>
      <c r="C2" s="15"/>
      <c r="D2" s="13"/>
      <c r="E2" s="91"/>
      <c r="F2" s="13"/>
      <c r="G2" s="13"/>
      <c r="H2" s="45"/>
      <c r="I2" s="47">
        <v>852</v>
      </c>
      <c r="J2" s="47">
        <v>520</v>
      </c>
      <c r="N2" t="str">
        <v>粤V8015挂</v>
      </c>
    </row>
    <row r="3" spans="1:14">
      <c r="A3" s="60" t="s">
        <v>3</v>
      </c>
      <c r="B3" s="34" t="s">
        <v>269</v>
      </c>
      <c r="C3" s="92" t="s">
        <v>270</v>
      </c>
      <c r="D3" s="34" t="s">
        <v>271</v>
      </c>
      <c r="E3" s="32" t="s">
        <v>272</v>
      </c>
      <c r="F3" s="34" t="s">
        <v>273</v>
      </c>
      <c r="G3" s="13"/>
      <c r="H3" s="45"/>
      <c r="N3" t="str">
        <v>粤V1855挂</v>
      </c>
    </row>
    <row r="4" spans="1:14">
      <c r="A4" s="61"/>
      <c r="B4" s="34"/>
      <c r="C4" s="34" t="s">
        <v>274</v>
      </c>
      <c r="D4" s="92" t="s">
        <v>275</v>
      </c>
      <c r="E4" s="8"/>
      <c r="F4" s="8"/>
      <c r="G4" s="13"/>
      <c r="H4" s="45"/>
      <c r="N4" t="str">
        <v>粤V6921挂</v>
      </c>
    </row>
    <row r="5" spans="1:14">
      <c r="A5" s="61"/>
      <c r="B5" s="34" t="s">
        <v>276</v>
      </c>
      <c r="C5" s="8"/>
      <c r="D5" s="8"/>
      <c r="E5" s="93" t="s">
        <v>277</v>
      </c>
      <c r="F5" s="34" t="s">
        <v>278</v>
      </c>
      <c r="G5" s="13"/>
      <c r="H5" s="45"/>
      <c r="N5" t="str">
        <v>粤V5383挂</v>
      </c>
    </row>
    <row r="6" spans="1:14">
      <c r="A6" s="61"/>
      <c r="B6" s="8"/>
      <c r="C6" s="8"/>
      <c r="D6" s="67"/>
      <c r="E6" s="32" t="s">
        <v>279</v>
      </c>
      <c r="F6" s="34" t="s">
        <v>280</v>
      </c>
      <c r="G6" s="13"/>
      <c r="J6" s="98"/>
      <c r="N6">
        <v>0</v>
      </c>
    </row>
    <row r="7" spans="1:14">
      <c r="A7" s="61"/>
      <c r="B7" s="35" t="s">
        <v>281</v>
      </c>
      <c r="C7" s="34" t="s">
        <v>282</v>
      </c>
      <c r="D7" s="94" t="s">
        <v>283</v>
      </c>
      <c r="E7" s="32" t="s">
        <v>284</v>
      </c>
      <c r="F7" s="34" t="s">
        <v>285</v>
      </c>
      <c r="G7" s="13"/>
      <c r="H7" s="45"/>
      <c r="J7" s="99"/>
      <c r="N7" t="str">
        <v>赣C8803X</v>
      </c>
    </row>
    <row r="8" spans="1:14">
      <c r="A8" s="61"/>
      <c r="B8" s="47" t="s">
        <v>286</v>
      </c>
      <c r="C8" s="55" t="s">
        <v>287</v>
      </c>
      <c r="D8" s="47" t="s">
        <v>288</v>
      </c>
      <c r="E8" s="95" t="s">
        <v>289</v>
      </c>
      <c r="G8" s="13"/>
      <c r="N8" t="str">
        <v>赣C3690D</v>
      </c>
    </row>
    <row r="9" spans="1:14">
      <c r="A9" s="61"/>
      <c r="B9" s="8" t="s">
        <v>290</v>
      </c>
      <c r="C9" s="8" t="s">
        <v>291</v>
      </c>
      <c r="D9" s="8" t="s">
        <v>292</v>
      </c>
      <c r="E9" s="96" t="s">
        <v>293</v>
      </c>
      <c r="F9" s="8" t="s">
        <v>294</v>
      </c>
      <c r="G9" s="13"/>
      <c r="H9" s="45"/>
      <c r="I9" s="99"/>
      <c r="J9" s="100"/>
      <c r="N9">
        <v>0</v>
      </c>
    </row>
    <row r="10" spans="1:14">
      <c r="A10" s="61"/>
      <c r="B10" s="8" t="s">
        <v>295</v>
      </c>
      <c r="C10" s="8" t="s">
        <v>296</v>
      </c>
      <c r="D10" s="8" t="s">
        <v>297</v>
      </c>
      <c r="E10" s="96" t="s">
        <v>298</v>
      </c>
      <c r="F10" s="8" t="s">
        <v>299</v>
      </c>
      <c r="G10" s="8"/>
      <c r="N10">
        <v>0</v>
      </c>
    </row>
    <row r="11" spans="1:14">
      <c r="A11" s="61"/>
      <c r="B11" s="8" t="s">
        <v>300</v>
      </c>
      <c r="C11" s="8" t="s">
        <v>301</v>
      </c>
      <c r="D11" s="8" t="s">
        <v>302</v>
      </c>
      <c r="E11" s="96" t="s">
        <v>303</v>
      </c>
      <c r="F11" s="8" t="s">
        <v>304</v>
      </c>
      <c r="G11" s="8"/>
      <c r="N11" t="str">
        <v>赣CAA609</v>
      </c>
    </row>
    <row r="12" spans="1:14">
      <c r="A12" s="61"/>
      <c r="B12" s="8" t="s">
        <v>305</v>
      </c>
      <c r="C12" s="8" t="s">
        <v>306</v>
      </c>
      <c r="D12" s="8" t="s">
        <v>307</v>
      </c>
      <c r="E12" s="8" t="s">
        <v>308</v>
      </c>
      <c r="F12" s="8" t="s">
        <v>309</v>
      </c>
      <c r="G12" s="8"/>
      <c r="N12">
        <v>0</v>
      </c>
    </row>
    <row r="13" spans="1:14">
      <c r="A13" s="61"/>
      <c r="B13" s="8"/>
      <c r="C13" s="8"/>
      <c r="D13" s="8"/>
      <c r="E13" s="8"/>
      <c r="F13" s="8"/>
      <c r="G13" s="8"/>
      <c r="N13">
        <v>0</v>
      </c>
    </row>
    <row r="14" spans="1:14">
      <c r="A14" s="61"/>
      <c r="B14" s="8"/>
      <c r="C14" s="8"/>
      <c r="D14" s="8"/>
      <c r="E14" s="8"/>
      <c r="F14" s="8"/>
      <c r="G14" s="8"/>
      <c r="N14" t="str">
        <v>赣C3632D</v>
      </c>
    </row>
    <row r="15" spans="1:14">
      <c r="A15" s="61"/>
      <c r="B15" s="8"/>
      <c r="C15" s="8"/>
      <c r="D15" s="8"/>
      <c r="E15" s="8"/>
      <c r="F15" s="8"/>
      <c r="G15" s="8"/>
      <c r="N15" t="str">
        <v>赣C3631D</v>
      </c>
    </row>
    <row r="16" spans="1:14">
      <c r="A16" s="62"/>
      <c r="B16" s="8"/>
      <c r="C16" s="8"/>
      <c r="D16" s="8"/>
      <c r="E16" s="8"/>
      <c r="F16" s="8"/>
      <c r="G16" s="8"/>
      <c r="N16">
        <v>0</v>
      </c>
    </row>
    <row r="17" spans="14:14">
      <c r="N17">
        <v>0</v>
      </c>
    </row>
    <row r="18" spans="14:14">
      <c r="N18">
        <v>0</v>
      </c>
    </row>
    <row r="19" spans="1:14">
      <c r="A19" s="16" t="s">
        <v>36</v>
      </c>
      <c r="B19" s="17" t="s">
        <v>37</v>
      </c>
      <c r="C19" s="18" t="s">
        <v>38</v>
      </c>
      <c r="D19" s="17" t="s">
        <v>39</v>
      </c>
      <c r="E19" s="97" t="s">
        <v>40</v>
      </c>
      <c r="F19" s="17" t="s">
        <v>41</v>
      </c>
      <c r="G19" s="17" t="s">
        <v>41</v>
      </c>
      <c r="H19" s="17" t="s">
        <v>41</v>
      </c>
      <c r="N19" t="str">
        <v>赣CCF153</v>
      </c>
    </row>
    <row r="20" spans="4:14">
      <c r="D20" s="19" t="str">
        <f>IF(C20&gt;=200,"5.85",IF(C20&lt;200,"5.95"))</f>
        <v>5.95</v>
      </c>
      <c r="E20" s="8">
        <f t="shared" ref="E20" si="0">INT(C20*D20)</f>
        <v>0</v>
      </c>
      <c r="N20" t="str">
        <v>赣CBA782</v>
      </c>
    </row>
    <row r="21" spans="14:14">
      <c r="N21" t="str">
        <v>赣C7876X</v>
      </c>
    </row>
    <row r="22" spans="14:20">
      <c r="N22" t="str">
        <v>赣C6305X</v>
      </c>
      <c r="T22" t="s">
        <v>310</v>
      </c>
    </row>
    <row r="23" spans="14:14">
      <c r="N23" t="str">
        <v>赣CC7485</v>
      </c>
    </row>
    <row r="24" spans="14:14">
      <c r="N24" t="str">
        <v>赣C5771X</v>
      </c>
    </row>
    <row r="25" spans="14:14">
      <c r="N25" t="str">
        <v>赣C3389D</v>
      </c>
    </row>
    <row r="26" spans="14:14">
      <c r="N26" t="str">
        <v>赣M56992</v>
      </c>
    </row>
    <row r="27" spans="14:14">
      <c r="N27" t="str">
        <v>粤VN2395</v>
      </c>
    </row>
    <row r="28" spans="14:14">
      <c r="N28" t="str">
        <v>粤VG3523</v>
      </c>
    </row>
    <row r="29" spans="14:14">
      <c r="N29" t="str">
        <v>粤VJ4386</v>
      </c>
    </row>
    <row r="30" spans="14:14">
      <c r="N30">
        <v>0</v>
      </c>
    </row>
    <row r="31" spans="14:14">
      <c r="N31" t="str">
        <v>粤VNF918</v>
      </c>
    </row>
    <row r="32" spans="14:14">
      <c r="N32" t="str">
        <v>粤VP1434</v>
      </c>
    </row>
    <row r="33" spans="14:14">
      <c r="N33" t="str">
        <v>赣M13300</v>
      </c>
    </row>
    <row r="34" spans="14:14">
      <c r="N34" t="str">
        <v>赣M22526</v>
      </c>
    </row>
    <row r="35" spans="14:14">
      <c r="N35" t="str">
        <v>赣M29965</v>
      </c>
    </row>
    <row r="36" spans="14:14">
      <c r="N36" t="str">
        <v>赣A76585</v>
      </c>
    </row>
    <row r="37" spans="14:14">
      <c r="N37" t="str">
        <v>赣M75987</v>
      </c>
    </row>
    <row r="38" spans="14:14">
      <c r="N38" t="str">
        <v>赣AE5681</v>
      </c>
    </row>
    <row r="39" spans="14:14">
      <c r="N39" t="str">
        <v>赣AP9395</v>
      </c>
    </row>
    <row r="40" spans="14:14">
      <c r="N40" t="str">
        <v>赣M12215</v>
      </c>
    </row>
    <row r="41" spans="14:14">
      <c r="N41" t="str">
        <v>赣AQ1359</v>
      </c>
    </row>
    <row r="42" spans="14:14">
      <c r="N42" t="str">
        <v>赣A79551</v>
      </c>
    </row>
    <row r="43" spans="14:14">
      <c r="N43" t="str">
        <v>粤UU7192</v>
      </c>
    </row>
    <row r="44" spans="14:14">
      <c r="N44" t="str">
        <v>皖CC0859</v>
      </c>
    </row>
    <row r="45" spans="14:14">
      <c r="N45" t="str">
        <v>赣AK9528</v>
      </c>
    </row>
    <row r="46" spans="14:14">
      <c r="N46" t="str">
        <v>赣A18033</v>
      </c>
    </row>
    <row r="47" spans="14:14">
      <c r="N47" t="str">
        <v>赣M89207</v>
      </c>
    </row>
    <row r="48" spans="14:14">
      <c r="N48" t="str">
        <v>赣M75596</v>
      </c>
    </row>
    <row r="49" spans="14:14">
      <c r="N49" t="str">
        <v>赣AM0706</v>
      </c>
    </row>
    <row r="50" spans="14:14">
      <c r="N50" t="str">
        <v>云AP7151</v>
      </c>
    </row>
  </sheetData>
  <mergeCells count="1">
    <mergeCell ref="A3:A16"/>
  </mergeCells>
  <conditionalFormatting sqref="B2 D2:F2">
    <cfRule type="duplicateValues" dxfId="1" priority="1"/>
  </conditionalFormatting>
  <conditionalFormatting sqref="I6:J10">
    <cfRule type="duplicateValues" dxfId="2" priority="2"/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A26" sqref="A26:E32"/>
    </sheetView>
  </sheetViews>
  <sheetFormatPr defaultColWidth="9" defaultRowHeight="14.25"/>
  <cols>
    <col min="1" max="2" width="11.4" customWidth="1"/>
  </cols>
  <sheetData>
    <row r="1" ht="18.75" spans="1:7">
      <c r="A1" s="1" t="s">
        <v>0</v>
      </c>
      <c r="B1" s="77" t="s">
        <v>311</v>
      </c>
      <c r="C1" s="65"/>
      <c r="D1" s="5"/>
      <c r="E1" s="40">
        <v>5.85</v>
      </c>
      <c r="F1" s="35"/>
      <c r="G1" s="35"/>
    </row>
    <row r="2" ht="22.5" spans="1:12">
      <c r="A2" s="78"/>
      <c r="B2" s="79"/>
      <c r="C2" s="65"/>
      <c r="D2" s="35"/>
      <c r="E2" s="35"/>
      <c r="F2" s="35"/>
      <c r="G2" s="35"/>
      <c r="L2" t="str" cm="1">
        <f t="array" ref="L2:L25">_xlfn.TOCOL(B3:G6)</f>
        <v>粤V7Q601</v>
      </c>
    </row>
    <row r="3" spans="1:12">
      <c r="A3" s="46" t="s">
        <v>3</v>
      </c>
      <c r="B3" s="35" t="s">
        <v>312</v>
      </c>
      <c r="C3" s="65" t="s">
        <v>313</v>
      </c>
      <c r="D3" s="80"/>
      <c r="E3" s="35" t="s">
        <v>314</v>
      </c>
      <c r="F3" s="35" t="s">
        <v>315</v>
      </c>
      <c r="G3" s="47" t="s">
        <v>316</v>
      </c>
      <c r="L3" t="str">
        <v>粤A89KG0</v>
      </c>
    </row>
    <row r="4" spans="1:12">
      <c r="A4" s="46"/>
      <c r="B4" s="35" t="s">
        <v>317</v>
      </c>
      <c r="C4" s="81"/>
      <c r="D4" s="35" t="s">
        <v>318</v>
      </c>
      <c r="E4" s="35" t="s">
        <v>319</v>
      </c>
      <c r="F4" s="35" t="s">
        <v>320</v>
      </c>
      <c r="G4" s="35" t="s">
        <v>321</v>
      </c>
      <c r="L4">
        <v>0</v>
      </c>
    </row>
    <row r="5" spans="1:12">
      <c r="A5" s="46"/>
      <c r="B5" s="35" t="s">
        <v>322</v>
      </c>
      <c r="C5" s="65" t="s">
        <v>323</v>
      </c>
      <c r="D5" s="82" t="s">
        <v>324</v>
      </c>
      <c r="E5" s="35" t="s">
        <v>325</v>
      </c>
      <c r="F5" s="35" t="s">
        <v>326</v>
      </c>
      <c r="G5" s="47" t="s">
        <v>327</v>
      </c>
      <c r="L5" t="str">
        <v>粤ABZ619</v>
      </c>
    </row>
    <row r="6" spans="1:12">
      <c r="A6" s="46"/>
      <c r="B6" s="35" t="s">
        <v>328</v>
      </c>
      <c r="C6" s="65" t="s">
        <v>329</v>
      </c>
      <c r="D6" s="82" t="s">
        <v>330</v>
      </c>
      <c r="E6" s="35" t="s">
        <v>331</v>
      </c>
      <c r="F6" s="47"/>
      <c r="G6" s="47"/>
      <c r="L6" t="str">
        <v>粤BLC651</v>
      </c>
    </row>
    <row r="7" spans="1:12">
      <c r="A7" s="46"/>
      <c r="B7" s="35"/>
      <c r="C7" s="65"/>
      <c r="D7" s="35"/>
      <c r="E7" s="35"/>
      <c r="F7" s="35"/>
      <c r="G7" s="35"/>
      <c r="L7" t="str">
        <v>粤BMJ270</v>
      </c>
    </row>
    <row r="8" spans="1:12">
      <c r="A8" s="46"/>
      <c r="B8" s="35"/>
      <c r="C8" s="47"/>
      <c r="D8" s="47"/>
      <c r="E8" s="47"/>
      <c r="F8" s="47"/>
      <c r="G8" s="35"/>
      <c r="L8" t="str">
        <v>粤ADL651</v>
      </c>
    </row>
    <row r="9" spans="1:12">
      <c r="A9" s="46"/>
      <c r="B9" s="48"/>
      <c r="C9" s="47"/>
      <c r="D9" s="55"/>
      <c r="E9" s="83"/>
      <c r="F9" s="83"/>
      <c r="G9" s="84"/>
      <c r="L9">
        <v>0</v>
      </c>
    </row>
    <row r="10" spans="1:12">
      <c r="A10" s="46"/>
      <c r="B10" s="83"/>
      <c r="C10" s="85"/>
      <c r="D10" s="8"/>
      <c r="E10" s="8"/>
      <c r="F10" s="8"/>
      <c r="G10" s="8"/>
      <c r="L10" t="str">
        <v>粤AJK235</v>
      </c>
    </row>
    <row r="11" spans="1:12">
      <c r="A11" s="46"/>
      <c r="B11" s="83"/>
      <c r="C11" s="8"/>
      <c r="D11" s="83"/>
      <c r="E11" s="83"/>
      <c r="F11" s="83"/>
      <c r="G11" s="83"/>
      <c r="L11" t="str">
        <v>粤AFC987</v>
      </c>
    </row>
    <row r="12" spans="1:12">
      <c r="A12" s="44"/>
      <c r="B12" s="86"/>
      <c r="C12" s="87"/>
      <c r="D12" s="86"/>
      <c r="E12" s="86"/>
      <c r="F12" s="86"/>
      <c r="G12" s="86"/>
      <c r="L12" t="str">
        <v>粤AKJ366</v>
      </c>
    </row>
    <row r="13" spans="1:12">
      <c r="A13" s="44"/>
      <c r="B13" s="88"/>
      <c r="C13" s="87"/>
      <c r="D13" s="86"/>
      <c r="E13" s="86"/>
      <c r="F13" s="86"/>
      <c r="G13" s="86"/>
      <c r="L13" t="str">
        <v>粤ACQ649</v>
      </c>
    </row>
    <row r="14" spans="1:12">
      <c r="A14" s="16" t="s">
        <v>36</v>
      </c>
      <c r="B14" s="17" t="s">
        <v>37</v>
      </c>
      <c r="C14" s="18" t="s">
        <v>38</v>
      </c>
      <c r="D14" s="17" t="s">
        <v>39</v>
      </c>
      <c r="E14" s="17" t="s">
        <v>40</v>
      </c>
      <c r="F14" s="17" t="s">
        <v>41</v>
      </c>
      <c r="G14" s="17" t="s">
        <v>41</v>
      </c>
      <c r="H14" s="17" t="s">
        <v>41</v>
      </c>
      <c r="L14" t="str">
        <v>粤BKM787</v>
      </c>
    </row>
    <row r="15" spans="1:12">
      <c r="A15" s="23">
        <v>45923</v>
      </c>
      <c r="B15" s="24" t="s">
        <v>332</v>
      </c>
      <c r="C15" s="24">
        <v>143.71</v>
      </c>
      <c r="D15" s="8">
        <v>5.75</v>
      </c>
      <c r="E15" s="8">
        <f t="shared" ref="E15:E25" si="0">INT(C15*D15)</f>
        <v>826</v>
      </c>
      <c r="L15" t="str">
        <v>赣FD0010</v>
      </c>
    </row>
    <row r="16" spans="1:12">
      <c r="A16" s="23">
        <v>45924</v>
      </c>
      <c r="B16" s="24" t="s">
        <v>333</v>
      </c>
      <c r="C16" s="24">
        <v>212.03</v>
      </c>
      <c r="D16" s="8">
        <v>5.75</v>
      </c>
      <c r="E16" s="8">
        <f t="shared" si="0"/>
        <v>1219</v>
      </c>
      <c r="L16" t="str">
        <v>赣A11289</v>
      </c>
    </row>
    <row r="17" spans="1:12">
      <c r="A17" s="23">
        <v>45925</v>
      </c>
      <c r="B17" s="24" t="s">
        <v>334</v>
      </c>
      <c r="C17" s="24">
        <v>132.26</v>
      </c>
      <c r="D17" s="8">
        <v>5.75</v>
      </c>
      <c r="E17" s="8">
        <f t="shared" si="0"/>
        <v>760</v>
      </c>
      <c r="L17" t="str">
        <v>赣CAY593</v>
      </c>
    </row>
    <row r="18" spans="1:12">
      <c r="A18" s="23">
        <v>45926</v>
      </c>
      <c r="B18" s="24" t="s">
        <v>335</v>
      </c>
      <c r="C18" s="24">
        <v>152.61</v>
      </c>
      <c r="D18" s="8">
        <v>5.75</v>
      </c>
      <c r="E18" s="8">
        <f t="shared" si="0"/>
        <v>877</v>
      </c>
      <c r="L18" t="str">
        <v>粤BFE684</v>
      </c>
    </row>
    <row r="19" spans="1:12">
      <c r="A19" s="23">
        <v>45926</v>
      </c>
      <c r="B19" s="24" t="s">
        <v>336</v>
      </c>
      <c r="C19" s="24">
        <v>144.01</v>
      </c>
      <c r="D19" s="8">
        <v>5.75</v>
      </c>
      <c r="E19" s="8">
        <f t="shared" si="0"/>
        <v>828</v>
      </c>
      <c r="L19" t="str">
        <v>粤AFP226</v>
      </c>
    </row>
    <row r="20" spans="1:12">
      <c r="A20" s="23">
        <v>45926</v>
      </c>
      <c r="B20" s="24" t="s">
        <v>337</v>
      </c>
      <c r="C20" s="24">
        <v>164.81</v>
      </c>
      <c r="D20" s="8">
        <v>5.75</v>
      </c>
      <c r="E20" s="8">
        <f t="shared" si="0"/>
        <v>947</v>
      </c>
      <c r="L20" t="str">
        <v>皖SB5581</v>
      </c>
    </row>
    <row r="21" spans="1:12">
      <c r="A21" s="23">
        <v>45928</v>
      </c>
      <c r="B21" s="24" t="s">
        <v>332</v>
      </c>
      <c r="C21" s="24">
        <v>157.43</v>
      </c>
      <c r="D21" s="8">
        <v>5.85</v>
      </c>
      <c r="E21" s="8">
        <f t="shared" si="0"/>
        <v>920</v>
      </c>
      <c r="L21" t="str">
        <v>粤ADQ017</v>
      </c>
    </row>
    <row r="22" spans="1:12">
      <c r="A22" s="23">
        <v>45929</v>
      </c>
      <c r="B22" s="24" t="s">
        <v>334</v>
      </c>
      <c r="C22" s="24">
        <v>148.22</v>
      </c>
      <c r="D22" s="8">
        <v>5.85</v>
      </c>
      <c r="E22" s="8">
        <f t="shared" si="0"/>
        <v>867</v>
      </c>
      <c r="L22" t="str">
        <v>粤VW1235</v>
      </c>
    </row>
    <row r="23" spans="1:12">
      <c r="A23" s="23">
        <v>45929</v>
      </c>
      <c r="B23" s="24" t="s">
        <v>336</v>
      </c>
      <c r="C23" s="24">
        <v>133.45</v>
      </c>
      <c r="D23" s="8">
        <v>5.85</v>
      </c>
      <c r="E23" s="8">
        <f t="shared" si="0"/>
        <v>780</v>
      </c>
      <c r="L23" t="str">
        <v>粤ACJ903</v>
      </c>
    </row>
    <row r="24" spans="1:12">
      <c r="A24" s="23">
        <v>45930</v>
      </c>
      <c r="B24" s="24" t="s">
        <v>337</v>
      </c>
      <c r="C24" s="24">
        <v>159.51</v>
      </c>
      <c r="D24" s="8">
        <v>5.85</v>
      </c>
      <c r="E24" s="8">
        <f t="shared" si="0"/>
        <v>933</v>
      </c>
      <c r="L24">
        <v>0</v>
      </c>
    </row>
    <row r="25" spans="1:12">
      <c r="A25" s="23">
        <v>45930</v>
      </c>
      <c r="B25" s="24" t="s">
        <v>338</v>
      </c>
      <c r="C25" s="24">
        <v>321.95</v>
      </c>
      <c r="D25" s="8">
        <v>5.85</v>
      </c>
      <c r="E25" s="8">
        <f t="shared" si="0"/>
        <v>1883</v>
      </c>
      <c r="L25">
        <v>0</v>
      </c>
    </row>
    <row r="26" spans="1:5">
      <c r="A26" s="23">
        <v>45932</v>
      </c>
      <c r="B26" s="24" t="s">
        <v>339</v>
      </c>
      <c r="C26" s="24">
        <v>278.66</v>
      </c>
      <c r="D26" s="8">
        <v>5.85</v>
      </c>
      <c r="E26" s="8">
        <f t="shared" ref="E26:E31" si="1">INT(C26*D26)</f>
        <v>1630</v>
      </c>
    </row>
    <row r="27" spans="1:5">
      <c r="A27" s="23">
        <v>45933</v>
      </c>
      <c r="B27" s="24" t="s">
        <v>333</v>
      </c>
      <c r="C27" s="24">
        <v>207.05</v>
      </c>
      <c r="D27" s="8">
        <v>5.85</v>
      </c>
      <c r="E27" s="8">
        <f t="shared" si="1"/>
        <v>1211</v>
      </c>
    </row>
    <row r="28" spans="1:5">
      <c r="A28" s="23">
        <v>45933</v>
      </c>
      <c r="B28" s="24" t="s">
        <v>334</v>
      </c>
      <c r="C28" s="24">
        <v>135.83</v>
      </c>
      <c r="D28" s="8">
        <v>5.85</v>
      </c>
      <c r="E28" s="8">
        <f t="shared" si="1"/>
        <v>794</v>
      </c>
    </row>
    <row r="29" spans="1:5">
      <c r="A29" s="23">
        <v>45934</v>
      </c>
      <c r="B29" s="24" t="s">
        <v>340</v>
      </c>
      <c r="C29" s="24">
        <v>295.57</v>
      </c>
      <c r="D29" s="8">
        <v>5.85</v>
      </c>
      <c r="E29" s="8">
        <f t="shared" si="1"/>
        <v>1729</v>
      </c>
    </row>
    <row r="30" spans="1:5">
      <c r="A30" s="23">
        <v>45934</v>
      </c>
      <c r="B30" s="24" t="s">
        <v>337</v>
      </c>
      <c r="C30" s="24">
        <v>137.49</v>
      </c>
      <c r="D30" s="8">
        <v>5.85</v>
      </c>
      <c r="E30" s="8">
        <f t="shared" si="1"/>
        <v>804</v>
      </c>
    </row>
    <row r="31" spans="1:5">
      <c r="A31" s="23">
        <v>45934</v>
      </c>
      <c r="B31" s="24" t="s">
        <v>332</v>
      </c>
      <c r="C31" s="24">
        <v>166.02</v>
      </c>
      <c r="D31" s="8">
        <v>5.85</v>
      </c>
      <c r="E31" s="8">
        <f t="shared" si="1"/>
        <v>971</v>
      </c>
    </row>
    <row r="32" spans="5:5">
      <c r="E32">
        <f>SUM(E26:E31)</f>
        <v>7139</v>
      </c>
    </row>
  </sheetData>
  <mergeCells count="1">
    <mergeCell ref="A3:A11"/>
  </mergeCells>
  <conditionalFormatting sqref="B12:G13 D11:G11 B11 B10:C10 B9:G9">
    <cfRule type="duplicateValues" dxfId="2" priority="1" stopIfTrue="1"/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10" zoomScaleNormal="110" workbookViewId="0">
      <selection activeCell="A20" sqref="A20:E25"/>
    </sheetView>
  </sheetViews>
  <sheetFormatPr defaultColWidth="9" defaultRowHeight="14.25"/>
  <cols>
    <col min="1" max="1" width="12" customWidth="1"/>
  </cols>
  <sheetData>
    <row r="1" ht="22.5" spans="1:6">
      <c r="A1" s="37" t="s">
        <v>0</v>
      </c>
      <c r="B1" s="38" t="s">
        <v>341</v>
      </c>
      <c r="C1" s="53"/>
      <c r="D1" s="5"/>
      <c r="E1" s="40">
        <v>5.85</v>
      </c>
      <c r="F1" s="41"/>
    </row>
    <row r="2" spans="1:12">
      <c r="A2" s="44"/>
      <c r="B2" s="45"/>
      <c r="C2" s="59"/>
      <c r="D2" s="45"/>
      <c r="E2" s="45"/>
      <c r="F2" s="45"/>
      <c r="L2" s="76" t="s">
        <v>342</v>
      </c>
    </row>
    <row r="3" spans="1:12">
      <c r="A3" s="75" t="s">
        <v>3</v>
      </c>
      <c r="B3" s="76" t="s">
        <v>342</v>
      </c>
      <c r="C3" s="55" t="s">
        <v>343</v>
      </c>
      <c r="D3" s="47" t="s">
        <v>344</v>
      </c>
      <c r="E3" s="47" t="s">
        <v>345</v>
      </c>
      <c r="F3" s="47" t="s">
        <v>346</v>
      </c>
      <c r="L3" s="55" t="s">
        <v>343</v>
      </c>
    </row>
    <row r="4" spans="1:12">
      <c r="A4" s="75"/>
      <c r="B4" s="76" t="s">
        <v>347</v>
      </c>
      <c r="C4" s="55" t="s">
        <v>348</v>
      </c>
      <c r="D4" s="47" t="s">
        <v>349</v>
      </c>
      <c r="E4" s="47" t="s">
        <v>350</v>
      </c>
      <c r="F4" s="35"/>
      <c r="L4" s="47" t="s">
        <v>344</v>
      </c>
    </row>
    <row r="5" spans="1:12">
      <c r="A5" s="75"/>
      <c r="B5" s="47"/>
      <c r="C5" s="55"/>
      <c r="D5" s="47"/>
      <c r="E5" s="47"/>
      <c r="F5" s="47"/>
      <c r="L5" s="47" t="s">
        <v>345</v>
      </c>
    </row>
    <row r="6" spans="1:12">
      <c r="A6" s="75"/>
      <c r="B6" s="47"/>
      <c r="C6" s="55"/>
      <c r="D6" s="47"/>
      <c r="E6" s="47"/>
      <c r="F6" s="47"/>
      <c r="L6" s="47" t="s">
        <v>346</v>
      </c>
    </row>
    <row r="7" spans="1:12">
      <c r="A7" s="75"/>
      <c r="B7" s="47"/>
      <c r="C7" s="55"/>
      <c r="D7" s="35"/>
      <c r="E7" s="47"/>
      <c r="F7" s="47"/>
      <c r="L7" s="76" t="s">
        <v>347</v>
      </c>
    </row>
    <row r="8" spans="1:12">
      <c r="A8" s="75"/>
      <c r="B8" s="47"/>
      <c r="C8" s="55"/>
      <c r="D8" s="47"/>
      <c r="E8" s="47"/>
      <c r="F8" s="47"/>
      <c r="L8" s="55" t="s">
        <v>348</v>
      </c>
    </row>
    <row r="9" spans="1:12">
      <c r="A9" s="75"/>
      <c r="B9" s="47"/>
      <c r="C9" s="55"/>
      <c r="D9" s="47"/>
      <c r="E9" s="35"/>
      <c r="F9" s="35"/>
      <c r="L9" s="47" t="s">
        <v>349</v>
      </c>
    </row>
    <row r="10" spans="1:12">
      <c r="A10" s="31"/>
      <c r="L10" s="47" t="s">
        <v>350</v>
      </c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45927</v>
      </c>
      <c r="B12" s="24" t="s">
        <v>351</v>
      </c>
      <c r="C12" s="24">
        <v>420</v>
      </c>
      <c r="D12" s="8">
        <v>5.75</v>
      </c>
      <c r="E12" s="8">
        <f t="shared" ref="E12:E24" si="0">INT(C12*D12)</f>
        <v>2415</v>
      </c>
    </row>
    <row r="13" spans="1:5">
      <c r="A13" s="23">
        <v>45927</v>
      </c>
      <c r="B13" s="24" t="s">
        <v>352</v>
      </c>
      <c r="C13" s="24">
        <v>350</v>
      </c>
      <c r="D13" s="8">
        <v>5.75</v>
      </c>
      <c r="E13" s="8">
        <f t="shared" si="0"/>
        <v>2012</v>
      </c>
    </row>
    <row r="14" spans="1:5">
      <c r="A14" s="23">
        <v>45928</v>
      </c>
      <c r="B14" s="24" t="s">
        <v>353</v>
      </c>
      <c r="C14" s="24">
        <v>340</v>
      </c>
      <c r="D14" s="8">
        <v>5.85</v>
      </c>
      <c r="E14" s="8">
        <f t="shared" si="0"/>
        <v>1989</v>
      </c>
    </row>
    <row r="15" spans="1:5">
      <c r="A15" s="23">
        <v>45928</v>
      </c>
      <c r="B15" s="24" t="s">
        <v>354</v>
      </c>
      <c r="C15" s="24">
        <v>360</v>
      </c>
      <c r="D15" s="8">
        <v>5.85</v>
      </c>
      <c r="E15" s="8">
        <f t="shared" si="0"/>
        <v>2106</v>
      </c>
    </row>
    <row r="16" spans="1:5">
      <c r="A16" s="23">
        <v>45929</v>
      </c>
      <c r="B16" s="24" t="s">
        <v>355</v>
      </c>
      <c r="C16" s="24">
        <v>400</v>
      </c>
      <c r="D16" s="8">
        <v>5.85</v>
      </c>
      <c r="E16" s="8">
        <f t="shared" si="0"/>
        <v>2340</v>
      </c>
    </row>
    <row r="17" spans="1:5">
      <c r="A17" s="23">
        <v>45929</v>
      </c>
      <c r="B17" s="24" t="s">
        <v>352</v>
      </c>
      <c r="C17" s="24">
        <v>350</v>
      </c>
      <c r="D17" s="8">
        <v>5.85</v>
      </c>
      <c r="E17" s="8">
        <f t="shared" si="0"/>
        <v>2047</v>
      </c>
    </row>
    <row r="18" spans="1:5">
      <c r="A18" s="23">
        <v>45929</v>
      </c>
      <c r="B18" s="24" t="s">
        <v>356</v>
      </c>
      <c r="C18" s="24">
        <v>360</v>
      </c>
      <c r="D18" s="8">
        <v>5.85</v>
      </c>
      <c r="E18" s="8">
        <f t="shared" si="0"/>
        <v>2106</v>
      </c>
    </row>
    <row r="19" spans="1:5">
      <c r="A19" s="23">
        <v>45929</v>
      </c>
      <c r="B19" s="24" t="s">
        <v>357</v>
      </c>
      <c r="C19" s="24">
        <v>290</v>
      </c>
      <c r="D19" s="8">
        <v>5.85</v>
      </c>
      <c r="E19" s="8">
        <f t="shared" si="0"/>
        <v>1696</v>
      </c>
    </row>
    <row r="20" spans="1:5">
      <c r="A20" s="23">
        <v>45932</v>
      </c>
      <c r="B20" s="24" t="s">
        <v>351</v>
      </c>
      <c r="C20" s="24">
        <v>370</v>
      </c>
      <c r="D20" s="8">
        <v>5.85</v>
      </c>
      <c r="E20" s="8">
        <f t="shared" si="0"/>
        <v>2164</v>
      </c>
    </row>
    <row r="21" spans="1:5">
      <c r="A21" s="23">
        <v>45933</v>
      </c>
      <c r="B21" s="24" t="s">
        <v>358</v>
      </c>
      <c r="C21" s="24">
        <v>360</v>
      </c>
      <c r="D21" s="8">
        <v>5.85</v>
      </c>
      <c r="E21" s="8">
        <f t="shared" si="0"/>
        <v>2106</v>
      </c>
    </row>
    <row r="22" spans="1:5">
      <c r="A22" s="23">
        <v>45933</v>
      </c>
      <c r="B22" s="24" t="s">
        <v>354</v>
      </c>
      <c r="C22" s="24">
        <v>350</v>
      </c>
      <c r="D22" s="8">
        <v>5.85</v>
      </c>
      <c r="E22" s="8">
        <f t="shared" si="0"/>
        <v>2047</v>
      </c>
    </row>
    <row r="23" spans="1:5">
      <c r="A23" s="23">
        <v>45934</v>
      </c>
      <c r="B23" s="24" t="s">
        <v>355</v>
      </c>
      <c r="C23" s="24">
        <v>380</v>
      </c>
      <c r="D23" s="8">
        <v>5.85</v>
      </c>
      <c r="E23" s="8">
        <f t="shared" si="0"/>
        <v>2223</v>
      </c>
    </row>
    <row r="24" spans="1:5">
      <c r="A24" s="23">
        <v>45934</v>
      </c>
      <c r="B24" s="24" t="s">
        <v>353</v>
      </c>
      <c r="C24" s="24">
        <v>340</v>
      </c>
      <c r="D24" s="8">
        <v>5.85</v>
      </c>
      <c r="E24" s="8">
        <f t="shared" si="0"/>
        <v>1989</v>
      </c>
    </row>
    <row r="25" spans="5:5">
      <c r="E25">
        <f>SUM(E20:E24)</f>
        <v>10529</v>
      </c>
    </row>
  </sheetData>
  <mergeCells count="1">
    <mergeCell ref="A3:A9"/>
  </mergeCells>
  <conditionalFormatting sqref="B6:F6">
    <cfRule type="duplicateValues" dxfId="1" priority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K3" sqref="K3:K6"/>
    </sheetView>
  </sheetViews>
  <sheetFormatPr defaultColWidth="9" defaultRowHeight="14.25"/>
  <cols>
    <col min="1" max="1" width="10.5333333333333" customWidth="1"/>
  </cols>
  <sheetData>
    <row r="1" ht="22.5" spans="1:8">
      <c r="A1" s="37" t="s">
        <v>0</v>
      </c>
      <c r="B1" s="38" t="s">
        <v>359</v>
      </c>
      <c r="C1" s="39"/>
      <c r="D1" s="5"/>
      <c r="E1" s="40">
        <v>5.85</v>
      </c>
      <c r="F1" s="41"/>
      <c r="G1" s="45"/>
      <c r="H1" s="45"/>
    </row>
    <row r="2" spans="1:8">
      <c r="A2" s="44"/>
      <c r="B2" s="45"/>
      <c r="C2" s="45"/>
      <c r="D2" s="45"/>
      <c r="E2" s="45"/>
      <c r="F2" s="45"/>
      <c r="G2" s="45"/>
      <c r="H2" s="45"/>
    </row>
    <row r="3" spans="1:11">
      <c r="A3" s="46" t="s">
        <v>3</v>
      </c>
      <c r="B3" s="47" t="s">
        <v>360</v>
      </c>
      <c r="C3" s="47" t="s">
        <v>361</v>
      </c>
      <c r="D3" s="47" t="s">
        <v>362</v>
      </c>
      <c r="E3" s="47" t="s">
        <v>363</v>
      </c>
      <c r="F3" s="47"/>
      <c r="G3" s="45"/>
      <c r="H3" s="45"/>
      <c r="K3" s="47" t="s">
        <v>360</v>
      </c>
    </row>
    <row r="4" spans="1:11">
      <c r="A4" s="46"/>
      <c r="B4" s="47"/>
      <c r="C4" s="47"/>
      <c r="D4" s="47"/>
      <c r="E4" s="47"/>
      <c r="F4" s="47"/>
      <c r="G4" s="45"/>
      <c r="H4" s="45"/>
      <c r="K4" s="47" t="s">
        <v>361</v>
      </c>
    </row>
    <row r="5" spans="1:11">
      <c r="A5" s="46"/>
      <c r="B5" s="47"/>
      <c r="C5" s="47"/>
      <c r="D5" s="47"/>
      <c r="E5" s="47"/>
      <c r="F5" s="47"/>
      <c r="G5" s="45"/>
      <c r="H5" s="45"/>
      <c r="K5" s="47" t="s">
        <v>362</v>
      </c>
    </row>
    <row r="6" spans="1:11">
      <c r="A6" s="46"/>
      <c r="B6" s="47"/>
      <c r="C6" s="47"/>
      <c r="D6" s="48"/>
      <c r="E6" s="47"/>
      <c r="F6" s="48"/>
      <c r="G6" s="45"/>
      <c r="H6" s="45"/>
      <c r="K6" s="47" t="s">
        <v>363</v>
      </c>
    </row>
    <row r="7" spans="1:8">
      <c r="A7" s="46"/>
      <c r="B7" s="47"/>
      <c r="C7" s="47"/>
      <c r="D7" s="47"/>
      <c r="E7" s="47"/>
      <c r="F7" s="47"/>
      <c r="G7" s="45"/>
      <c r="H7" s="45"/>
    </row>
    <row r="8" spans="1:8">
      <c r="A8" s="46"/>
      <c r="B8" s="48"/>
      <c r="C8" s="47"/>
      <c r="D8" s="48"/>
      <c r="E8" s="47"/>
      <c r="F8" s="47"/>
      <c r="G8" s="45"/>
      <c r="H8" s="45"/>
    </row>
    <row r="9" spans="1:8">
      <c r="A9" s="46"/>
      <c r="B9" s="47"/>
      <c r="C9" s="47"/>
      <c r="D9" s="47"/>
      <c r="E9" s="35"/>
      <c r="F9" s="35"/>
      <c r="G9" s="45"/>
      <c r="H9" s="45"/>
    </row>
    <row r="10" spans="1:8">
      <c r="A10" s="44"/>
      <c r="B10" s="45"/>
      <c r="C10" s="45"/>
      <c r="D10" s="45"/>
      <c r="E10" s="45"/>
      <c r="F10" s="45"/>
      <c r="G10" s="45"/>
      <c r="H10" s="45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45928</v>
      </c>
      <c r="B12" s="24" t="s">
        <v>364</v>
      </c>
      <c r="C12" s="24">
        <v>360</v>
      </c>
      <c r="D12" s="8">
        <v>5.85</v>
      </c>
      <c r="E12" s="8">
        <f>C12*D12</f>
        <v>2106</v>
      </c>
    </row>
    <row r="13" spans="1:5">
      <c r="A13" s="23"/>
      <c r="B13" s="24"/>
      <c r="C13" s="24"/>
      <c r="D13" s="8"/>
      <c r="E13" s="8"/>
    </row>
    <row r="14" spans="1:5">
      <c r="A14" s="23"/>
      <c r="B14" s="24"/>
      <c r="C14" s="24"/>
      <c r="D14" s="8"/>
      <c r="E14" s="8"/>
    </row>
    <row r="15" spans="1:5">
      <c r="A15" s="23"/>
      <c r="B15" s="24"/>
      <c r="C15" s="24"/>
      <c r="D15" s="8"/>
      <c r="E15" s="8"/>
    </row>
  </sheetData>
  <mergeCells count="1">
    <mergeCell ref="A3:A9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opLeftCell="A12" workbookViewId="0">
      <selection activeCell="A40" sqref="A40:E45"/>
    </sheetView>
  </sheetViews>
  <sheetFormatPr defaultColWidth="9" defaultRowHeight="14.25"/>
  <cols>
    <col min="1" max="1" width="10.8666666666667" customWidth="1"/>
  </cols>
  <sheetData>
    <row r="1" ht="22.5" spans="1:12">
      <c r="A1" s="37" t="s">
        <v>0</v>
      </c>
      <c r="B1" s="38" t="s">
        <v>365</v>
      </c>
      <c r="C1" s="53"/>
      <c r="D1" s="5"/>
      <c r="E1" s="27" t="s">
        <v>2</v>
      </c>
      <c r="F1" s="41"/>
      <c r="G1" s="58"/>
      <c r="H1" s="43"/>
      <c r="L1" cm="1">
        <f t="array" ref="L1:L20">_xlfn.TOCOL(B3:F6)</f>
        <v>0</v>
      </c>
    </row>
    <row r="2" spans="1:12">
      <c r="A2" s="44"/>
      <c r="B2" s="45"/>
      <c r="C2" s="59"/>
      <c r="D2" s="45"/>
      <c r="E2" s="45"/>
      <c r="F2" s="45"/>
      <c r="G2" s="45"/>
      <c r="H2" s="45"/>
      <c r="L2" t="str">
        <v>粤V979F8</v>
      </c>
    </row>
    <row r="3" spans="1:12">
      <c r="A3" s="46" t="s">
        <v>3</v>
      </c>
      <c r="B3" s="35"/>
      <c r="C3" s="55" t="s">
        <v>366</v>
      </c>
      <c r="D3" s="35" t="s">
        <v>367</v>
      </c>
      <c r="E3" s="35" t="s">
        <v>368</v>
      </c>
      <c r="F3" s="35" t="s">
        <v>369</v>
      </c>
      <c r="G3" s="45"/>
      <c r="H3" s="45"/>
      <c r="L3" t="str">
        <v>粤VJF787</v>
      </c>
    </row>
    <row r="4" spans="1:12">
      <c r="A4" s="46"/>
      <c r="B4" s="35" t="s">
        <v>370</v>
      </c>
      <c r="C4" s="55" t="s">
        <v>371</v>
      </c>
      <c r="D4" s="47" t="s">
        <v>372</v>
      </c>
      <c r="E4" s="47" t="s">
        <v>373</v>
      </c>
      <c r="F4" s="47" t="s">
        <v>374</v>
      </c>
      <c r="G4" s="45"/>
      <c r="H4" s="45"/>
      <c r="L4" t="str">
        <v>粤V257R6</v>
      </c>
    </row>
    <row r="5" spans="1:12">
      <c r="A5" s="46"/>
      <c r="B5" s="47" t="s">
        <v>375</v>
      </c>
      <c r="C5" s="55" t="s">
        <v>376</v>
      </c>
      <c r="D5" s="47" t="s">
        <v>377</v>
      </c>
      <c r="E5" s="47" t="s">
        <v>378</v>
      </c>
      <c r="F5" s="47" t="s">
        <v>379</v>
      </c>
      <c r="G5" s="45"/>
      <c r="H5" s="45"/>
      <c r="L5" t="str">
        <v>粤VQ8539</v>
      </c>
    </row>
    <row r="6" spans="1:12">
      <c r="A6" s="46"/>
      <c r="B6" s="47" t="s">
        <v>380</v>
      </c>
      <c r="C6" s="55" t="s">
        <v>381</v>
      </c>
      <c r="D6" s="47"/>
      <c r="E6" s="47"/>
      <c r="F6" s="47" t="s">
        <v>382</v>
      </c>
      <c r="G6" s="45"/>
      <c r="H6" s="45"/>
      <c r="L6" t="str">
        <v>粤DD102W</v>
      </c>
    </row>
    <row r="7" spans="1:12">
      <c r="A7" s="46"/>
      <c r="B7" s="8"/>
      <c r="C7" s="55"/>
      <c r="D7" s="35"/>
      <c r="E7" s="47"/>
      <c r="F7" s="8"/>
      <c r="G7" s="45"/>
      <c r="H7" s="45"/>
      <c r="L7" t="str">
        <v>粤DD623R</v>
      </c>
    </row>
    <row r="8" spans="1:12">
      <c r="A8" s="46"/>
      <c r="B8" s="47"/>
      <c r="C8" s="55"/>
      <c r="D8" s="47"/>
      <c r="E8" s="47"/>
      <c r="F8" s="47"/>
      <c r="G8" s="45"/>
      <c r="H8" s="45"/>
      <c r="L8" t="str">
        <v>粤D598U1</v>
      </c>
    </row>
    <row r="9" spans="1:12">
      <c r="A9" s="46"/>
      <c r="B9" s="47"/>
      <c r="C9" s="55"/>
      <c r="D9" s="47"/>
      <c r="E9" s="35"/>
      <c r="F9" s="35"/>
      <c r="G9" s="45"/>
      <c r="H9" s="45"/>
      <c r="L9" t="str">
        <v>粤D0982C</v>
      </c>
    </row>
    <row r="10" spans="1:12">
      <c r="A10" s="44"/>
      <c r="B10" s="45"/>
      <c r="C10" s="59"/>
      <c r="D10" s="45"/>
      <c r="E10" s="45"/>
      <c r="F10" s="45"/>
      <c r="G10" s="45"/>
      <c r="H10" s="45"/>
      <c r="L10" t="str">
        <v>赣F8U275</v>
      </c>
    </row>
    <row r="11" spans="1:12">
      <c r="A11" s="44"/>
      <c r="B11" s="45"/>
      <c r="C11" s="59"/>
      <c r="D11" s="45"/>
      <c r="E11" s="45"/>
      <c r="F11" s="45"/>
      <c r="G11" s="45"/>
      <c r="H11" s="45"/>
      <c r="L11" t="str">
        <v>粤D18393</v>
      </c>
    </row>
    <row r="12" spans="1:12">
      <c r="A12" s="44"/>
      <c r="B12" s="45"/>
      <c r="C12" s="59"/>
      <c r="D12" s="45"/>
      <c r="E12" s="45"/>
      <c r="F12" s="45"/>
      <c r="G12" s="45"/>
      <c r="H12" s="45"/>
      <c r="L12" t="str">
        <v>粤VBW931</v>
      </c>
    </row>
    <row r="13" spans="1:12">
      <c r="A13" s="16" t="s">
        <v>36</v>
      </c>
      <c r="B13" s="17" t="s">
        <v>37</v>
      </c>
      <c r="C13" s="18" t="s">
        <v>38</v>
      </c>
      <c r="D13" s="17" t="s">
        <v>39</v>
      </c>
      <c r="E13" s="17" t="s">
        <v>40</v>
      </c>
      <c r="F13" s="17" t="s">
        <v>41</v>
      </c>
      <c r="G13" s="17" t="s">
        <v>41</v>
      </c>
      <c r="H13" s="17" t="s">
        <v>41</v>
      </c>
      <c r="L13" t="str">
        <v>粤VDR830</v>
      </c>
    </row>
    <row r="14" spans="1:12">
      <c r="A14" s="23">
        <v>45924</v>
      </c>
      <c r="B14" s="24" t="s">
        <v>383</v>
      </c>
      <c r="C14" s="24">
        <v>59.18</v>
      </c>
      <c r="D14" s="19" t="str">
        <f>IF(C14&gt;=200,"5.75",IF(C14&lt;200,"5.95"))</f>
        <v>5.95</v>
      </c>
      <c r="E14" s="8">
        <f>INT(C14*D14)</f>
        <v>352</v>
      </c>
      <c r="L14" t="str">
        <v>粤VC6932</v>
      </c>
    </row>
    <row r="15" spans="1:12">
      <c r="A15" s="23">
        <v>45924</v>
      </c>
      <c r="B15" s="24" t="s">
        <v>384</v>
      </c>
      <c r="C15" s="24">
        <v>100</v>
      </c>
      <c r="D15" s="19" t="str">
        <f>IF(C15&gt;=200,"5.75",IF(C15&lt;200,"5.95"))</f>
        <v>5.95</v>
      </c>
      <c r="E15" s="8">
        <f t="shared" ref="E15:E24" si="0">INT(C15*D15)</f>
        <v>595</v>
      </c>
      <c r="L15" t="str">
        <v>粤D6U358</v>
      </c>
    </row>
    <row r="16" spans="1:12">
      <c r="A16" s="23">
        <v>45924</v>
      </c>
      <c r="B16" s="24" t="s">
        <v>385</v>
      </c>
      <c r="C16" s="24">
        <v>62.9</v>
      </c>
      <c r="D16" s="19" t="str">
        <f t="shared" ref="D16:D24" si="1">IF(C16&gt;=200,"5.75",IF(C16&lt;200,"5.95"))</f>
        <v>5.95</v>
      </c>
      <c r="E16" s="8">
        <f t="shared" si="0"/>
        <v>374</v>
      </c>
      <c r="L16" t="str">
        <v>粤DB670B</v>
      </c>
    </row>
    <row r="17" spans="1:12">
      <c r="A17" s="23">
        <v>45924</v>
      </c>
      <c r="B17" s="24" t="s">
        <v>386</v>
      </c>
      <c r="C17" s="24">
        <v>50.76</v>
      </c>
      <c r="D17" s="19" t="str">
        <f t="shared" si="1"/>
        <v>5.95</v>
      </c>
      <c r="E17" s="8">
        <f t="shared" si="0"/>
        <v>302</v>
      </c>
      <c r="L17" t="str">
        <v>粤D911Q3</v>
      </c>
    </row>
    <row r="18" spans="1:12">
      <c r="A18" s="23">
        <v>45925</v>
      </c>
      <c r="B18" s="24" t="s">
        <v>387</v>
      </c>
      <c r="C18" s="24">
        <v>56.36</v>
      </c>
      <c r="D18" s="19" t="str">
        <f t="shared" si="1"/>
        <v>5.95</v>
      </c>
      <c r="E18" s="8">
        <f t="shared" si="0"/>
        <v>335</v>
      </c>
      <c r="L18">
        <v>0</v>
      </c>
    </row>
    <row r="19" spans="1:12">
      <c r="A19" s="23">
        <v>45925</v>
      </c>
      <c r="B19" s="24" t="s">
        <v>388</v>
      </c>
      <c r="C19" s="24">
        <v>99.38</v>
      </c>
      <c r="D19" s="19" t="str">
        <f t="shared" si="1"/>
        <v>5.95</v>
      </c>
      <c r="E19" s="8">
        <f t="shared" si="0"/>
        <v>591</v>
      </c>
      <c r="L19">
        <v>0</v>
      </c>
    </row>
    <row r="20" spans="1:12">
      <c r="A20" s="23">
        <v>45925</v>
      </c>
      <c r="B20" s="24" t="s">
        <v>389</v>
      </c>
      <c r="C20" s="24">
        <v>53.45</v>
      </c>
      <c r="D20" s="19" t="str">
        <f t="shared" si="1"/>
        <v>5.95</v>
      </c>
      <c r="E20" s="8">
        <f t="shared" si="0"/>
        <v>318</v>
      </c>
      <c r="L20" t="str">
        <v>粤DF719J</v>
      </c>
    </row>
    <row r="21" spans="1:5">
      <c r="A21" s="23">
        <v>45925</v>
      </c>
      <c r="B21" s="24" t="s">
        <v>390</v>
      </c>
      <c r="C21" s="24">
        <v>85</v>
      </c>
      <c r="D21" s="19" t="str">
        <f t="shared" si="1"/>
        <v>5.95</v>
      </c>
      <c r="E21" s="8">
        <f t="shared" si="0"/>
        <v>505</v>
      </c>
    </row>
    <row r="22" spans="1:5">
      <c r="A22" s="23">
        <v>45925</v>
      </c>
      <c r="B22" s="24" t="s">
        <v>391</v>
      </c>
      <c r="C22" s="24">
        <v>78.62</v>
      </c>
      <c r="D22" s="19" t="str">
        <f t="shared" si="1"/>
        <v>5.95</v>
      </c>
      <c r="E22" s="8">
        <f t="shared" si="0"/>
        <v>467</v>
      </c>
    </row>
    <row r="23" spans="1:5">
      <c r="A23" s="23">
        <v>45925</v>
      </c>
      <c r="B23" s="24" t="s">
        <v>392</v>
      </c>
      <c r="C23" s="24">
        <v>95.71</v>
      </c>
      <c r="D23" s="19" t="str">
        <f t="shared" si="1"/>
        <v>5.95</v>
      </c>
      <c r="E23" s="8">
        <f t="shared" si="0"/>
        <v>569</v>
      </c>
    </row>
    <row r="24" spans="1:5">
      <c r="A24" s="23">
        <v>45925</v>
      </c>
      <c r="B24" s="24" t="s">
        <v>393</v>
      </c>
      <c r="C24" s="24">
        <v>84.85</v>
      </c>
      <c r="D24" s="19" t="str">
        <f t="shared" si="1"/>
        <v>5.95</v>
      </c>
      <c r="E24" s="8">
        <f t="shared" si="0"/>
        <v>504</v>
      </c>
    </row>
    <row r="25" spans="1:5">
      <c r="A25" s="23">
        <v>45926</v>
      </c>
      <c r="B25" s="24" t="s">
        <v>386</v>
      </c>
      <c r="C25" s="24">
        <v>63.92</v>
      </c>
      <c r="D25" s="19" t="str">
        <f t="shared" ref="D25:D28" si="2">IF(C25&gt;=200,"5.75",IF(C25&lt;200,"5.95"))</f>
        <v>5.95</v>
      </c>
      <c r="E25" s="8">
        <f t="shared" ref="E25:E30" si="3">INT(C25*D25)</f>
        <v>380</v>
      </c>
    </row>
    <row r="26" spans="1:5">
      <c r="A26" s="23">
        <v>45926</v>
      </c>
      <c r="B26" s="24" t="s">
        <v>394</v>
      </c>
      <c r="C26" s="24">
        <v>73.41</v>
      </c>
      <c r="D26" s="19" t="str">
        <f t="shared" si="2"/>
        <v>5.95</v>
      </c>
      <c r="E26" s="8">
        <f t="shared" si="3"/>
        <v>436</v>
      </c>
    </row>
    <row r="27" spans="1:5">
      <c r="A27" s="23">
        <v>45927</v>
      </c>
      <c r="B27" s="24" t="s">
        <v>395</v>
      </c>
      <c r="C27" s="24">
        <v>82.57</v>
      </c>
      <c r="D27" s="19" t="str">
        <f t="shared" si="2"/>
        <v>5.95</v>
      </c>
      <c r="E27" s="8">
        <f t="shared" si="3"/>
        <v>491</v>
      </c>
    </row>
    <row r="28" spans="1:5">
      <c r="A28" s="23">
        <v>45927</v>
      </c>
      <c r="B28" s="24" t="s">
        <v>385</v>
      </c>
      <c r="C28" s="24">
        <v>59.18</v>
      </c>
      <c r="D28" s="19" t="str">
        <f t="shared" si="2"/>
        <v>5.95</v>
      </c>
      <c r="E28" s="8">
        <f t="shared" si="3"/>
        <v>352</v>
      </c>
    </row>
    <row r="29" spans="1:5">
      <c r="A29" s="23">
        <v>45928</v>
      </c>
      <c r="B29" s="24" t="s">
        <v>391</v>
      </c>
      <c r="C29" s="24">
        <v>73.97</v>
      </c>
      <c r="D29" s="19" t="str">
        <f>IF(C29&gt;=200,"5.85",IF(C29&lt;200,"5.95"))</f>
        <v>5.95</v>
      </c>
      <c r="E29" s="8">
        <f t="shared" si="3"/>
        <v>440</v>
      </c>
    </row>
    <row r="30" spans="1:5">
      <c r="A30" s="23">
        <v>45928</v>
      </c>
      <c r="B30" s="24" t="s">
        <v>393</v>
      </c>
      <c r="C30" s="24">
        <v>59.32</v>
      </c>
      <c r="D30" s="19" t="str">
        <f>IF(C30&gt;=200,"5.85",IF(C30&lt;200,"5.95"))</f>
        <v>5.95</v>
      </c>
      <c r="E30" s="8">
        <f t="shared" si="3"/>
        <v>352</v>
      </c>
    </row>
    <row r="31" spans="1:5">
      <c r="A31" s="23">
        <v>45929</v>
      </c>
      <c r="B31" s="24" t="s">
        <v>396</v>
      </c>
      <c r="C31" s="24">
        <v>78.92</v>
      </c>
      <c r="D31" s="19" t="str">
        <f t="shared" ref="D31:D44" si="4">IF(C31&gt;=200,"5.85",IF(C31&lt;200,"5.95"))</f>
        <v>5.95</v>
      </c>
      <c r="E31" s="8">
        <f t="shared" ref="E31:E44" si="5">INT(C31*D31)</f>
        <v>469</v>
      </c>
    </row>
    <row r="32" spans="1:5">
      <c r="A32" s="23">
        <v>45929</v>
      </c>
      <c r="B32" s="24" t="s">
        <v>389</v>
      </c>
      <c r="C32" s="24">
        <v>47.81</v>
      </c>
      <c r="D32" s="19" t="str">
        <f t="shared" si="4"/>
        <v>5.95</v>
      </c>
      <c r="E32" s="8">
        <f t="shared" si="5"/>
        <v>284</v>
      </c>
    </row>
    <row r="33" spans="1:5">
      <c r="A33" s="23">
        <v>45929</v>
      </c>
      <c r="B33" s="24" t="s">
        <v>386</v>
      </c>
      <c r="C33" s="24">
        <v>63.64</v>
      </c>
      <c r="D33" s="19" t="str">
        <f t="shared" si="4"/>
        <v>5.95</v>
      </c>
      <c r="E33" s="8">
        <f t="shared" si="5"/>
        <v>378</v>
      </c>
    </row>
    <row r="34" spans="1:5">
      <c r="A34" s="23">
        <v>45929</v>
      </c>
      <c r="B34" s="24" t="s">
        <v>384</v>
      </c>
      <c r="C34" s="24">
        <v>100</v>
      </c>
      <c r="D34" s="19" t="str">
        <f t="shared" si="4"/>
        <v>5.95</v>
      </c>
      <c r="E34" s="8">
        <f t="shared" si="5"/>
        <v>595</v>
      </c>
    </row>
    <row r="35" spans="1:5">
      <c r="A35" s="23">
        <v>45929</v>
      </c>
      <c r="B35" s="24" t="s">
        <v>390</v>
      </c>
      <c r="C35" s="24">
        <v>79.61</v>
      </c>
      <c r="D35" s="19" t="str">
        <f t="shared" si="4"/>
        <v>5.95</v>
      </c>
      <c r="E35" s="8">
        <f t="shared" si="5"/>
        <v>473</v>
      </c>
    </row>
    <row r="36" spans="1:5">
      <c r="A36" s="23">
        <v>45930</v>
      </c>
      <c r="B36" s="24" t="s">
        <v>392</v>
      </c>
      <c r="C36" s="24">
        <v>104.98</v>
      </c>
      <c r="D36" s="19" t="str">
        <f t="shared" si="4"/>
        <v>5.95</v>
      </c>
      <c r="E36" s="8">
        <f t="shared" si="5"/>
        <v>624</v>
      </c>
    </row>
    <row r="37" spans="1:5">
      <c r="A37" s="23">
        <v>45930</v>
      </c>
      <c r="B37" s="24" t="s">
        <v>387</v>
      </c>
      <c r="C37" s="24">
        <v>50.87</v>
      </c>
      <c r="D37" s="19" t="str">
        <f t="shared" si="4"/>
        <v>5.95</v>
      </c>
      <c r="E37" s="8">
        <f t="shared" si="5"/>
        <v>302</v>
      </c>
    </row>
    <row r="38" spans="1:5">
      <c r="A38" s="23">
        <v>45930</v>
      </c>
      <c r="B38" s="24" t="s">
        <v>393</v>
      </c>
      <c r="C38" s="24">
        <v>84.07</v>
      </c>
      <c r="D38" s="19" t="str">
        <f t="shared" si="4"/>
        <v>5.95</v>
      </c>
      <c r="E38" s="8">
        <f t="shared" si="5"/>
        <v>500</v>
      </c>
    </row>
    <row r="39" spans="1:5">
      <c r="A39" s="23">
        <v>45930</v>
      </c>
      <c r="B39" s="24" t="s">
        <v>384</v>
      </c>
      <c r="C39" s="24">
        <v>111.3</v>
      </c>
      <c r="D39" s="19" t="str">
        <f t="shared" si="4"/>
        <v>5.95</v>
      </c>
      <c r="E39" s="8">
        <f t="shared" si="5"/>
        <v>662</v>
      </c>
    </row>
    <row r="40" spans="1:5">
      <c r="A40" s="23">
        <v>45932</v>
      </c>
      <c r="B40" s="24" t="s">
        <v>391</v>
      </c>
      <c r="C40" s="24">
        <v>73.97</v>
      </c>
      <c r="D40" s="19" t="str">
        <f t="shared" si="4"/>
        <v>5.95</v>
      </c>
      <c r="E40" s="8">
        <f t="shared" si="5"/>
        <v>440</v>
      </c>
    </row>
    <row r="41" spans="1:5">
      <c r="A41" s="23">
        <v>45933</v>
      </c>
      <c r="B41" s="24" t="s">
        <v>389</v>
      </c>
      <c r="C41" s="24">
        <v>50.13</v>
      </c>
      <c r="D41" s="19" t="str">
        <f t="shared" si="4"/>
        <v>5.95</v>
      </c>
      <c r="E41" s="8">
        <f t="shared" si="5"/>
        <v>298</v>
      </c>
    </row>
    <row r="42" spans="1:5">
      <c r="A42" s="23">
        <v>45933</v>
      </c>
      <c r="B42" s="24" t="s">
        <v>386</v>
      </c>
      <c r="C42" s="24">
        <v>55.52</v>
      </c>
      <c r="D42" s="19" t="str">
        <f t="shared" si="4"/>
        <v>5.95</v>
      </c>
      <c r="E42" s="8">
        <f t="shared" si="5"/>
        <v>330</v>
      </c>
    </row>
    <row r="43" spans="1:5">
      <c r="A43" s="23">
        <v>45934</v>
      </c>
      <c r="B43" s="24" t="s">
        <v>390</v>
      </c>
      <c r="C43" s="24">
        <v>110.25</v>
      </c>
      <c r="D43" s="19" t="str">
        <f t="shared" si="4"/>
        <v>5.95</v>
      </c>
      <c r="E43" s="8">
        <f t="shared" si="5"/>
        <v>655</v>
      </c>
    </row>
    <row r="44" spans="1:5">
      <c r="A44" s="23">
        <v>45934</v>
      </c>
      <c r="B44" s="24" t="s">
        <v>390</v>
      </c>
      <c r="C44" s="24">
        <v>74</v>
      </c>
      <c r="D44" s="19" t="str">
        <f t="shared" si="4"/>
        <v>5.95</v>
      </c>
      <c r="E44" s="8">
        <f t="shared" si="5"/>
        <v>440</v>
      </c>
    </row>
    <row r="45" spans="5:5">
      <c r="E45">
        <f>SUM(E40:E44)</f>
        <v>2163</v>
      </c>
    </row>
  </sheetData>
  <mergeCells count="1">
    <mergeCell ref="A3:A9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23" sqref="A23:E27"/>
    </sheetView>
  </sheetViews>
  <sheetFormatPr defaultColWidth="9" defaultRowHeight="14.25"/>
  <cols>
    <col min="1" max="1" width="11" customWidth="1"/>
  </cols>
  <sheetData>
    <row r="1" ht="22.5" spans="1:12">
      <c r="A1" s="37" t="s">
        <v>0</v>
      </c>
      <c r="B1" s="38" t="s">
        <v>397</v>
      </c>
      <c r="C1" s="53"/>
      <c r="D1" s="5"/>
      <c r="E1" s="27" t="s">
        <v>2</v>
      </c>
      <c r="F1" s="41"/>
      <c r="G1" s="58"/>
      <c r="H1" s="43"/>
      <c r="L1" t="str" cm="1">
        <f t="array" ref="L1:L10">_xlfn.TOCOL(B3:F4)</f>
        <v>粤V98689</v>
      </c>
    </row>
    <row r="2" spans="1:12">
      <c r="A2" s="44"/>
      <c r="B2" s="45"/>
      <c r="C2" s="59"/>
      <c r="D2" s="45"/>
      <c r="E2" s="45"/>
      <c r="F2" s="45"/>
      <c r="G2" s="45"/>
      <c r="H2" s="45"/>
      <c r="L2" t="str">
        <v>粤VX6670</v>
      </c>
    </row>
    <row r="3" spans="1:12">
      <c r="A3" s="46" t="s">
        <v>3</v>
      </c>
      <c r="B3" s="47" t="s">
        <v>398</v>
      </c>
      <c r="C3" s="55" t="s">
        <v>399</v>
      </c>
      <c r="D3" s="48" t="s">
        <v>400</v>
      </c>
      <c r="E3" s="47" t="s">
        <v>401</v>
      </c>
      <c r="F3" s="47" t="s">
        <v>402</v>
      </c>
      <c r="G3" s="45"/>
      <c r="H3" s="45"/>
      <c r="L3" t="str">
        <v>粤V1088B</v>
      </c>
    </row>
    <row r="4" spans="1:12">
      <c r="A4" s="46"/>
      <c r="B4" s="47" t="s">
        <v>403</v>
      </c>
      <c r="C4" s="55" t="s">
        <v>404</v>
      </c>
      <c r="D4" s="47" t="s">
        <v>405</v>
      </c>
      <c r="E4" s="47" t="s">
        <v>406</v>
      </c>
      <c r="F4" s="47" t="s">
        <v>407</v>
      </c>
      <c r="G4" s="45"/>
      <c r="H4" s="45"/>
      <c r="L4" t="str">
        <v>粤VN3842</v>
      </c>
    </row>
    <row r="5" spans="1:12">
      <c r="A5" s="46"/>
      <c r="B5" s="47"/>
      <c r="C5" s="55"/>
      <c r="D5" s="47"/>
      <c r="E5" s="47"/>
      <c r="F5" s="47"/>
      <c r="G5" s="45"/>
      <c r="H5" s="45"/>
      <c r="L5" t="str">
        <v>粤VM8760</v>
      </c>
    </row>
    <row r="6" spans="1:12">
      <c r="A6" s="46"/>
      <c r="B6" s="47"/>
      <c r="C6" s="55"/>
      <c r="D6" s="47"/>
      <c r="E6" s="47"/>
      <c r="F6" s="47"/>
      <c r="G6" s="45"/>
      <c r="H6" s="45"/>
      <c r="L6" t="str">
        <v>粤VN3731</v>
      </c>
    </row>
    <row r="7" spans="1:12">
      <c r="A7" s="46"/>
      <c r="B7" s="47"/>
      <c r="C7" s="55"/>
      <c r="D7" s="35"/>
      <c r="E7" s="47"/>
      <c r="F7" s="47"/>
      <c r="G7" s="45"/>
      <c r="H7" s="45"/>
      <c r="L7" t="str">
        <v>粤USZ732</v>
      </c>
    </row>
    <row r="8" spans="1:12">
      <c r="A8" s="46"/>
      <c r="B8" s="47"/>
      <c r="C8" s="55"/>
      <c r="D8" s="47"/>
      <c r="E8" s="47"/>
      <c r="F8" s="47"/>
      <c r="G8" s="45"/>
      <c r="H8" s="45"/>
      <c r="L8" t="str">
        <v>湘MYX308</v>
      </c>
    </row>
    <row r="9" spans="1:12">
      <c r="A9" s="46"/>
      <c r="B9" s="47"/>
      <c r="C9" s="55"/>
      <c r="D9" s="47"/>
      <c r="E9" s="35"/>
      <c r="F9" s="35"/>
      <c r="G9" s="45"/>
      <c r="H9" s="45"/>
      <c r="L9" t="str">
        <v>粤D2193T</v>
      </c>
    </row>
    <row r="10" spans="12:12">
      <c r="L10" t="str">
        <v>闽EK5739</v>
      </c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45926</v>
      </c>
      <c r="B12" s="24" t="s">
        <v>408</v>
      </c>
      <c r="C12" s="24">
        <v>53.88</v>
      </c>
      <c r="D12" s="19" t="str">
        <f>IF(C12&gt;=200,"5.75",IF(C12&lt;200,"5.95"))</f>
        <v>5.95</v>
      </c>
      <c r="E12" s="8">
        <f t="shared" ref="E12:E14" si="0">INT(C12*D12)</f>
        <v>320</v>
      </c>
    </row>
    <row r="13" spans="1:5">
      <c r="A13" s="23">
        <v>45927</v>
      </c>
      <c r="B13" s="24" t="s">
        <v>409</v>
      </c>
      <c r="C13" s="24">
        <v>170.02</v>
      </c>
      <c r="D13" s="19" t="str">
        <f t="shared" ref="D13:D15" si="1">IF(C13&gt;=200,"5.75",IF(C13&lt;200,"5.95"))</f>
        <v>5.95</v>
      </c>
      <c r="E13" s="8">
        <f t="shared" si="0"/>
        <v>1011</v>
      </c>
    </row>
    <row r="14" spans="1:5">
      <c r="A14" s="23">
        <v>45927</v>
      </c>
      <c r="B14" s="24" t="s">
        <v>410</v>
      </c>
      <c r="C14" s="24">
        <v>184.1</v>
      </c>
      <c r="D14" s="19" t="str">
        <f t="shared" si="1"/>
        <v>5.95</v>
      </c>
      <c r="E14" s="8">
        <f t="shared" si="0"/>
        <v>1095</v>
      </c>
    </row>
    <row r="15" spans="1:5">
      <c r="A15" s="23">
        <v>45927</v>
      </c>
      <c r="B15" s="24" t="s">
        <v>411</v>
      </c>
      <c r="C15" s="24">
        <v>398.37</v>
      </c>
      <c r="D15" s="19" t="str">
        <f t="shared" si="1"/>
        <v>5.75</v>
      </c>
      <c r="E15" s="8">
        <f t="shared" ref="E15:E26" si="2">INT(C15*D15)</f>
        <v>2290</v>
      </c>
    </row>
    <row r="16" spans="1:5">
      <c r="A16" s="23">
        <v>45928</v>
      </c>
      <c r="B16" s="24" t="s">
        <v>412</v>
      </c>
      <c r="C16" s="24">
        <v>273.67</v>
      </c>
      <c r="D16" s="19" t="str">
        <f t="shared" ref="D16:D26" si="3">IF(C16&gt;=200,"5.85",IF(C16&lt;200,"5.95"))</f>
        <v>5.85</v>
      </c>
      <c r="E16" s="8">
        <f t="shared" si="2"/>
        <v>1600</v>
      </c>
    </row>
    <row r="17" spans="1:5">
      <c r="A17" s="23">
        <v>45928</v>
      </c>
      <c r="B17" s="24" t="s">
        <v>408</v>
      </c>
      <c r="C17" s="24">
        <v>80.13</v>
      </c>
      <c r="D17" s="19" t="str">
        <f t="shared" si="3"/>
        <v>5.95</v>
      </c>
      <c r="E17" s="8">
        <f t="shared" si="2"/>
        <v>476</v>
      </c>
    </row>
    <row r="18" spans="1:5">
      <c r="A18" s="23">
        <v>45929</v>
      </c>
      <c r="B18" s="24" t="s">
        <v>413</v>
      </c>
      <c r="C18" s="24">
        <v>88.17</v>
      </c>
      <c r="D18" s="19" t="str">
        <f t="shared" si="3"/>
        <v>5.95</v>
      </c>
      <c r="E18" s="8">
        <f t="shared" si="2"/>
        <v>524</v>
      </c>
    </row>
    <row r="19" spans="1:5">
      <c r="A19" s="23">
        <v>45929</v>
      </c>
      <c r="B19" s="24" t="s">
        <v>414</v>
      </c>
      <c r="C19" s="24">
        <v>206.56</v>
      </c>
      <c r="D19" s="19" t="str">
        <f t="shared" si="3"/>
        <v>5.85</v>
      </c>
      <c r="E19" s="8">
        <f t="shared" si="2"/>
        <v>1208</v>
      </c>
    </row>
    <row r="20" spans="1:5">
      <c r="A20" s="23">
        <v>45929</v>
      </c>
      <c r="B20" s="24" t="s">
        <v>408</v>
      </c>
      <c r="C20" s="24">
        <v>52.79</v>
      </c>
      <c r="D20" s="19" t="str">
        <f t="shared" si="3"/>
        <v>5.95</v>
      </c>
      <c r="E20" s="8">
        <f t="shared" si="2"/>
        <v>314</v>
      </c>
    </row>
    <row r="21" spans="1:5">
      <c r="A21" s="23">
        <v>45930</v>
      </c>
      <c r="B21" s="24" t="s">
        <v>415</v>
      </c>
      <c r="C21" s="24">
        <v>220</v>
      </c>
      <c r="D21" s="19" t="str">
        <f t="shared" si="3"/>
        <v>5.85</v>
      </c>
      <c r="E21" s="8">
        <f t="shared" si="2"/>
        <v>1287</v>
      </c>
    </row>
    <row r="22" spans="1:5">
      <c r="A22" s="23">
        <v>45931</v>
      </c>
      <c r="B22" s="24" t="s">
        <v>408</v>
      </c>
      <c r="C22" s="24">
        <v>75.3</v>
      </c>
      <c r="D22" s="19" t="str">
        <f t="shared" si="3"/>
        <v>5.95</v>
      </c>
      <c r="E22" s="8">
        <f t="shared" si="2"/>
        <v>448</v>
      </c>
    </row>
    <row r="23" spans="1:5">
      <c r="A23" s="23">
        <v>45933</v>
      </c>
      <c r="B23" s="24" t="s">
        <v>413</v>
      </c>
      <c r="C23" s="24">
        <v>86.91</v>
      </c>
      <c r="D23" s="19" t="str">
        <f t="shared" si="3"/>
        <v>5.95</v>
      </c>
      <c r="E23" s="8">
        <f t="shared" si="2"/>
        <v>517</v>
      </c>
    </row>
    <row r="24" spans="1:5">
      <c r="A24" s="23">
        <v>45933</v>
      </c>
      <c r="B24" s="24" t="s">
        <v>408</v>
      </c>
      <c r="C24" s="24">
        <v>94.13</v>
      </c>
      <c r="D24" s="19" t="str">
        <f t="shared" si="3"/>
        <v>5.95</v>
      </c>
      <c r="E24" s="8">
        <f t="shared" si="2"/>
        <v>560</v>
      </c>
    </row>
    <row r="25" spans="1:5">
      <c r="A25" s="23">
        <v>45934</v>
      </c>
      <c r="B25" s="24" t="s">
        <v>410</v>
      </c>
      <c r="C25" s="24">
        <v>200.03</v>
      </c>
      <c r="D25" s="19" t="str">
        <f t="shared" si="3"/>
        <v>5.85</v>
      </c>
      <c r="E25" s="8">
        <f t="shared" si="2"/>
        <v>1170</v>
      </c>
    </row>
    <row r="26" spans="1:5">
      <c r="A26" s="23">
        <v>45934</v>
      </c>
      <c r="B26" s="24" t="s">
        <v>409</v>
      </c>
      <c r="C26" s="24">
        <v>180.95</v>
      </c>
      <c r="D26" s="19" t="str">
        <f t="shared" si="3"/>
        <v>5.95</v>
      </c>
      <c r="E26" s="8">
        <f t="shared" si="2"/>
        <v>1076</v>
      </c>
    </row>
    <row r="27" spans="5:5">
      <c r="E27">
        <f>SUM(E23:E26)</f>
        <v>3323</v>
      </c>
    </row>
  </sheetData>
  <mergeCells count="1">
    <mergeCell ref="A3:A9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4" sqref="A14:E18"/>
    </sheetView>
  </sheetViews>
  <sheetFormatPr defaultColWidth="9" defaultRowHeight="14.25"/>
  <cols>
    <col min="1" max="1" width="11.2" customWidth="1"/>
  </cols>
  <sheetData>
    <row r="1" ht="22.5" spans="1:12">
      <c r="A1" s="64" t="s">
        <v>0</v>
      </c>
      <c r="B1" s="38" t="s">
        <v>416</v>
      </c>
      <c r="C1" s="53"/>
      <c r="D1" s="5"/>
      <c r="E1" s="41">
        <v>5.85</v>
      </c>
      <c r="F1" s="41"/>
      <c r="L1" t="str" cm="1">
        <f t="array" ref="L1:L10">_xlfn.TOCOL(B3:F4)</f>
        <v>赣K91156</v>
      </c>
    </row>
    <row r="2" spans="1:12">
      <c r="A2" s="45"/>
      <c r="B2" s="45"/>
      <c r="C2" s="59"/>
      <c r="D2" s="45"/>
      <c r="E2" s="45"/>
      <c r="F2" s="45"/>
      <c r="L2" t="str">
        <v>赣K96889</v>
      </c>
    </row>
    <row r="3" spans="1:12">
      <c r="A3" s="72" t="s">
        <v>3</v>
      </c>
      <c r="B3" s="35" t="s">
        <v>417</v>
      </c>
      <c r="C3" s="65" t="s">
        <v>418</v>
      </c>
      <c r="D3" s="47" t="s">
        <v>419</v>
      </c>
      <c r="E3" s="47" t="s">
        <v>420</v>
      </c>
      <c r="F3" s="35" t="s">
        <v>421</v>
      </c>
      <c r="L3" t="str">
        <v>赣K90760</v>
      </c>
    </row>
    <row r="4" spans="1:12">
      <c r="A4" s="73"/>
      <c r="B4" s="35" t="s">
        <v>422</v>
      </c>
      <c r="C4" s="65"/>
      <c r="D4" s="47"/>
      <c r="E4" s="13"/>
      <c r="F4" s="13"/>
      <c r="L4" t="str">
        <v>鄂S277B2</v>
      </c>
    </row>
    <row r="5" spans="1:12">
      <c r="A5" s="73"/>
      <c r="B5" s="47"/>
      <c r="C5" s="55"/>
      <c r="D5" s="47"/>
      <c r="E5" s="47"/>
      <c r="F5" s="47"/>
      <c r="L5" t="str">
        <v>渝DN0872</v>
      </c>
    </row>
    <row r="6" spans="1:12">
      <c r="A6" s="73"/>
      <c r="B6" s="47"/>
      <c r="C6" s="55"/>
      <c r="D6" s="47"/>
      <c r="E6" s="47"/>
      <c r="F6" s="47"/>
      <c r="L6" t="str">
        <v>粤DE853H</v>
      </c>
    </row>
    <row r="7" spans="1:12">
      <c r="A7" s="73"/>
      <c r="B7" s="47"/>
      <c r="C7" s="55"/>
      <c r="D7" s="35"/>
      <c r="E7" s="47"/>
      <c r="F7" s="47"/>
      <c r="L7">
        <v>0</v>
      </c>
    </row>
    <row r="8" spans="1:12">
      <c r="A8" s="73"/>
      <c r="B8" s="47"/>
      <c r="C8" s="55"/>
      <c r="D8" s="47"/>
      <c r="E8" s="47"/>
      <c r="F8" s="47"/>
      <c r="L8">
        <v>0</v>
      </c>
    </row>
    <row r="9" spans="1:12">
      <c r="A9" s="74"/>
      <c r="B9" s="47"/>
      <c r="C9" s="55"/>
      <c r="D9" s="47"/>
      <c r="E9" s="35"/>
      <c r="F9" s="35"/>
      <c r="L9">
        <v>0</v>
      </c>
    </row>
    <row r="10" spans="12:12">
      <c r="L10">
        <v>0</v>
      </c>
    </row>
    <row r="11" spans="1:8">
      <c r="A11" s="17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45929</v>
      </c>
      <c r="B12" s="24" t="s">
        <v>423</v>
      </c>
      <c r="C12" s="24">
        <v>200</v>
      </c>
      <c r="D12" s="8">
        <v>5.85</v>
      </c>
      <c r="E12" s="8">
        <f t="shared" ref="E12:E17" si="0">INT(C12*D12)</f>
        <v>1170</v>
      </c>
    </row>
    <row r="13" spans="1:5">
      <c r="A13" s="23">
        <v>45930</v>
      </c>
      <c r="B13" s="24" t="s">
        <v>424</v>
      </c>
      <c r="C13" s="24">
        <v>300</v>
      </c>
      <c r="D13" s="8">
        <v>5.85</v>
      </c>
      <c r="E13" s="8">
        <f t="shared" si="0"/>
        <v>1755</v>
      </c>
    </row>
    <row r="14" spans="1:5">
      <c r="A14" s="23">
        <v>45932</v>
      </c>
      <c r="B14" s="24" t="s">
        <v>425</v>
      </c>
      <c r="C14" s="24">
        <v>200</v>
      </c>
      <c r="D14" s="8">
        <v>5.85</v>
      </c>
      <c r="E14" s="8">
        <f t="shared" si="0"/>
        <v>1170</v>
      </c>
    </row>
    <row r="15" spans="1:5">
      <c r="A15" s="23">
        <v>45933</v>
      </c>
      <c r="B15" s="24" t="s">
        <v>423</v>
      </c>
      <c r="C15" s="24">
        <v>400</v>
      </c>
      <c r="D15" s="8">
        <v>5.85</v>
      </c>
      <c r="E15" s="8">
        <f t="shared" si="0"/>
        <v>2340</v>
      </c>
    </row>
    <row r="16" spans="1:5">
      <c r="A16" s="23">
        <v>45934</v>
      </c>
      <c r="B16" s="24" t="s">
        <v>424</v>
      </c>
      <c r="C16" s="24">
        <v>400</v>
      </c>
      <c r="D16" s="8">
        <v>5.85</v>
      </c>
      <c r="E16" s="8">
        <f t="shared" si="0"/>
        <v>2340</v>
      </c>
    </row>
    <row r="17" spans="1:5">
      <c r="A17" s="23">
        <v>45934</v>
      </c>
      <c r="B17" s="24" t="s">
        <v>425</v>
      </c>
      <c r="C17" s="24">
        <v>200</v>
      </c>
      <c r="D17" s="8">
        <v>5.85</v>
      </c>
      <c r="E17" s="8">
        <f t="shared" si="0"/>
        <v>1170</v>
      </c>
    </row>
    <row r="18" spans="5:5">
      <c r="E18">
        <f>SUM(E14:E17)</f>
        <v>7020</v>
      </c>
    </row>
  </sheetData>
  <mergeCells count="1">
    <mergeCell ref="A3:A9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20" sqref="A20:E23"/>
    </sheetView>
  </sheetViews>
  <sheetFormatPr defaultColWidth="9" defaultRowHeight="14.25"/>
  <cols>
    <col min="1" max="1" width="10.0666666666667" customWidth="1"/>
  </cols>
  <sheetData>
    <row r="1" ht="22.5" spans="1:11">
      <c r="A1" s="64" t="s">
        <v>0</v>
      </c>
      <c r="B1" s="38" t="s">
        <v>426</v>
      </c>
      <c r="C1" s="53"/>
      <c r="D1" s="5"/>
      <c r="E1" s="27" t="s">
        <v>2</v>
      </c>
      <c r="F1" s="8"/>
      <c r="G1" s="43"/>
      <c r="H1" s="43"/>
      <c r="K1" t="str" cm="1">
        <f t="array" ref="K1:K10">_xlfn.TOCOL(B3:F4)</f>
        <v>粤N12662</v>
      </c>
    </row>
    <row r="2" spans="1:11">
      <c r="A2" s="45"/>
      <c r="B2" s="45"/>
      <c r="C2" s="59"/>
      <c r="D2" s="45"/>
      <c r="E2" s="45"/>
      <c r="F2" s="45"/>
      <c r="G2" s="45"/>
      <c r="H2" s="45"/>
      <c r="K2" t="str">
        <v>赣KA2123</v>
      </c>
    </row>
    <row r="3" spans="1:11">
      <c r="A3" s="35" t="s">
        <v>3</v>
      </c>
      <c r="B3" s="35" t="s">
        <v>427</v>
      </c>
      <c r="C3" s="65" t="s">
        <v>428</v>
      </c>
      <c r="D3" s="47" t="s">
        <v>429</v>
      </c>
      <c r="E3" s="47" t="s">
        <v>430</v>
      </c>
      <c r="F3" s="35" t="s">
        <v>431</v>
      </c>
      <c r="G3" s="45"/>
      <c r="H3" s="45"/>
      <c r="K3" t="str">
        <v>赣K62008</v>
      </c>
    </row>
    <row r="4" spans="1:11">
      <c r="A4" s="35"/>
      <c r="B4" s="35" t="s">
        <v>432</v>
      </c>
      <c r="C4" s="65" t="s">
        <v>433</v>
      </c>
      <c r="D4" s="47"/>
      <c r="E4" s="13"/>
      <c r="F4" s="13"/>
      <c r="G4" s="45"/>
      <c r="H4" s="45"/>
      <c r="K4" t="str">
        <v>赣K61097</v>
      </c>
    </row>
    <row r="5" spans="1:11">
      <c r="A5" s="35"/>
      <c r="B5" s="47"/>
      <c r="C5" s="55"/>
      <c r="D5" s="47"/>
      <c r="E5" s="47"/>
      <c r="F5" s="47"/>
      <c r="G5" s="45"/>
      <c r="H5" s="45"/>
      <c r="K5" t="str">
        <v>赣K85298</v>
      </c>
    </row>
    <row r="6" spans="1:11">
      <c r="A6" s="35"/>
      <c r="B6" s="47"/>
      <c r="C6" s="55"/>
      <c r="D6" s="47"/>
      <c r="E6" s="47"/>
      <c r="F6" s="47"/>
      <c r="G6" s="45"/>
      <c r="H6" s="45"/>
      <c r="K6" t="str">
        <v>赣K16896</v>
      </c>
    </row>
    <row r="7" spans="1:11">
      <c r="A7" s="35"/>
      <c r="B7" s="47"/>
      <c r="C7" s="55"/>
      <c r="D7" s="35"/>
      <c r="E7" s="47"/>
      <c r="F7" s="47"/>
      <c r="G7" s="45"/>
      <c r="H7" s="45"/>
      <c r="K7" t="str">
        <v>粤VC7032</v>
      </c>
    </row>
    <row r="8" spans="1:11">
      <c r="A8" s="35"/>
      <c r="B8" s="47"/>
      <c r="C8" s="55"/>
      <c r="D8" s="47"/>
      <c r="E8" s="47"/>
      <c r="F8" s="47"/>
      <c r="G8" s="45"/>
      <c r="H8" s="45"/>
      <c r="K8">
        <v>0</v>
      </c>
    </row>
    <row r="9" spans="1:11">
      <c r="A9" s="35"/>
      <c r="B9" s="47"/>
      <c r="C9" s="55"/>
      <c r="D9" s="47"/>
      <c r="E9" s="35"/>
      <c r="F9" s="35"/>
      <c r="G9" s="45"/>
      <c r="H9" s="45"/>
      <c r="K9">
        <v>0</v>
      </c>
    </row>
    <row r="10" spans="11:11">
      <c r="K10">
        <v>0</v>
      </c>
    </row>
    <row r="11" spans="1:8">
      <c r="A11" s="17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70">
        <v>45925</v>
      </c>
      <c r="B12" s="71" t="s">
        <v>434</v>
      </c>
      <c r="C12" s="71">
        <v>127.53</v>
      </c>
      <c r="D12" s="8" t="str">
        <f>IF(C12&gt;=200,"5.75",IF(C12&lt;200,"5.95"))</f>
        <v>5.95</v>
      </c>
      <c r="E12" s="8">
        <f t="shared" ref="E12:E22" si="0">INT(C12*D12)</f>
        <v>758</v>
      </c>
    </row>
    <row r="13" spans="1:5">
      <c r="A13" s="23">
        <v>45926</v>
      </c>
      <c r="B13" s="24" t="s">
        <v>435</v>
      </c>
      <c r="C13" s="24">
        <v>437.32</v>
      </c>
      <c r="D13" s="8" t="str">
        <f>IF(C13&gt;=200,"5.75",IF(C13&lt;200,"5.95"))</f>
        <v>5.75</v>
      </c>
      <c r="E13" s="8">
        <f t="shared" si="0"/>
        <v>2514</v>
      </c>
    </row>
    <row r="14" spans="1:5">
      <c r="A14" s="23">
        <v>45926</v>
      </c>
      <c r="B14" s="24" t="s">
        <v>436</v>
      </c>
      <c r="C14" s="24">
        <v>87.35</v>
      </c>
      <c r="D14" s="8" t="str">
        <f>IF(C14&gt;=200,"5.75",IF(C14&lt;200,"5.95"))</f>
        <v>5.95</v>
      </c>
      <c r="E14" s="8">
        <f t="shared" si="0"/>
        <v>519</v>
      </c>
    </row>
    <row r="15" spans="1:5">
      <c r="A15" s="23">
        <v>45926</v>
      </c>
      <c r="B15" s="24" t="s">
        <v>437</v>
      </c>
      <c r="C15" s="24">
        <v>135.7</v>
      </c>
      <c r="D15" s="8" t="str">
        <f>IF(C15&gt;=200,"5.75",IF(C15&lt;200,"5.95"))</f>
        <v>5.95</v>
      </c>
      <c r="E15" s="8">
        <f t="shared" si="0"/>
        <v>807</v>
      </c>
    </row>
    <row r="16" spans="1:5">
      <c r="A16" s="23">
        <v>45927</v>
      </c>
      <c r="B16" s="24" t="s">
        <v>436</v>
      </c>
      <c r="C16" s="24">
        <v>59.18</v>
      </c>
      <c r="D16" s="8" t="str">
        <f>IF(C16&gt;=200,"5.75",IF(C16&lt;200,"5.95"))</f>
        <v>5.95</v>
      </c>
      <c r="E16" s="8">
        <f t="shared" si="0"/>
        <v>352</v>
      </c>
    </row>
    <row r="17" spans="1:5">
      <c r="A17" s="23">
        <v>45929</v>
      </c>
      <c r="B17" s="24" t="s">
        <v>436</v>
      </c>
      <c r="C17" s="24">
        <v>237.93</v>
      </c>
      <c r="D17" s="8" t="str">
        <f t="shared" ref="D17:D22" si="1">IF(C17&gt;=200,"5.85",IF(C17&lt;200,"5.95"))</f>
        <v>5.85</v>
      </c>
      <c r="E17" s="8">
        <f t="shared" si="0"/>
        <v>1391</v>
      </c>
    </row>
    <row r="18" spans="1:5">
      <c r="A18" s="23">
        <v>45930</v>
      </c>
      <c r="B18" s="24" t="s">
        <v>438</v>
      </c>
      <c r="C18" s="24">
        <v>84.96</v>
      </c>
      <c r="D18" s="8" t="str">
        <f t="shared" si="1"/>
        <v>5.95</v>
      </c>
      <c r="E18" s="8">
        <f t="shared" si="0"/>
        <v>505</v>
      </c>
    </row>
    <row r="19" spans="1:5">
      <c r="A19" s="23">
        <v>45931</v>
      </c>
      <c r="B19" s="24" t="s">
        <v>436</v>
      </c>
      <c r="C19" s="24">
        <v>81.49</v>
      </c>
      <c r="D19" s="8" t="str">
        <f t="shared" si="1"/>
        <v>5.95</v>
      </c>
      <c r="E19" s="8">
        <f t="shared" si="0"/>
        <v>484</v>
      </c>
    </row>
    <row r="20" spans="1:5">
      <c r="A20" s="23">
        <v>45933</v>
      </c>
      <c r="B20" s="24" t="s">
        <v>437</v>
      </c>
      <c r="C20" s="24">
        <v>130.13</v>
      </c>
      <c r="D20" s="8" t="str">
        <f t="shared" si="1"/>
        <v>5.95</v>
      </c>
      <c r="E20" s="8">
        <f t="shared" si="0"/>
        <v>774</v>
      </c>
    </row>
    <row r="21" spans="1:5">
      <c r="A21" s="23">
        <v>45933</v>
      </c>
      <c r="B21" s="24" t="s">
        <v>436</v>
      </c>
      <c r="C21" s="24">
        <v>98.09</v>
      </c>
      <c r="D21" s="8" t="str">
        <f t="shared" si="1"/>
        <v>5.95</v>
      </c>
      <c r="E21" s="8">
        <f t="shared" si="0"/>
        <v>583</v>
      </c>
    </row>
    <row r="22" spans="1:5">
      <c r="A22" s="23">
        <v>45934</v>
      </c>
      <c r="B22" s="24" t="s">
        <v>438</v>
      </c>
      <c r="C22" s="24">
        <v>101.2</v>
      </c>
      <c r="D22" s="8" t="str">
        <f t="shared" si="1"/>
        <v>5.95</v>
      </c>
      <c r="E22" s="8">
        <f t="shared" si="0"/>
        <v>602</v>
      </c>
    </row>
    <row r="23" spans="5:5">
      <c r="E23">
        <f>SUM(E20:E22)</f>
        <v>1959</v>
      </c>
    </row>
  </sheetData>
  <mergeCells count="1">
    <mergeCell ref="A3:A9"/>
  </mergeCells>
  <conditionalFormatting sqref="B3:F4">
    <cfRule type="duplicateValues" dxfId="1" priority="1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1" sqref="L1:L3"/>
    </sheetView>
  </sheetViews>
  <sheetFormatPr defaultColWidth="9" defaultRowHeight="14.25"/>
  <sheetData>
    <row r="1" ht="22.5" spans="1:12">
      <c r="A1" s="64" t="s">
        <v>0</v>
      </c>
      <c r="B1" s="38" t="s">
        <v>439</v>
      </c>
      <c r="C1" s="53"/>
      <c r="D1" s="5"/>
      <c r="E1" s="41">
        <v>5.85</v>
      </c>
      <c r="F1" s="41"/>
      <c r="G1" s="68"/>
      <c r="H1" s="69"/>
      <c r="L1" t="str" cm="1">
        <f t="array" ref="L1:L3">_xlfn.TOCOL(B3:D3)</f>
        <v>粤UU6233</v>
      </c>
    </row>
    <row r="2" spans="1:12">
      <c r="A2" s="45"/>
      <c r="B2" s="45"/>
      <c r="C2" s="59"/>
      <c r="D2" s="45"/>
      <c r="E2" s="45"/>
      <c r="F2" s="45"/>
      <c r="G2" s="45"/>
      <c r="H2" s="45"/>
      <c r="L2" t="str">
        <v>赣C2296D</v>
      </c>
    </row>
    <row r="3" spans="1:12">
      <c r="A3" s="35" t="s">
        <v>3</v>
      </c>
      <c r="B3" s="35" t="s">
        <v>440</v>
      </c>
      <c r="C3" s="65" t="s">
        <v>441</v>
      </c>
      <c r="D3" s="47" t="s">
        <v>442</v>
      </c>
      <c r="E3" s="47"/>
      <c r="F3" s="35"/>
      <c r="G3" s="45"/>
      <c r="H3" s="45"/>
      <c r="L3" t="str">
        <v>湘ER0378</v>
      </c>
    </row>
    <row r="4" spans="1:8">
      <c r="A4" s="35"/>
      <c r="B4" s="35"/>
      <c r="C4" s="65"/>
      <c r="D4" s="47"/>
      <c r="E4" s="13"/>
      <c r="F4" s="13"/>
      <c r="G4" s="45"/>
      <c r="H4" s="45"/>
    </row>
    <row r="5" spans="1:8">
      <c r="A5" s="35"/>
      <c r="B5" s="47"/>
      <c r="C5" s="55"/>
      <c r="D5" s="47"/>
      <c r="E5" s="47"/>
      <c r="F5" s="47"/>
      <c r="G5" s="45"/>
      <c r="H5" s="45"/>
    </row>
    <row r="6" spans="1:8">
      <c r="A6" s="35"/>
      <c r="B6" s="47"/>
      <c r="C6" s="55"/>
      <c r="D6" s="47"/>
      <c r="E6" s="47"/>
      <c r="F6" s="47"/>
      <c r="G6" s="45"/>
      <c r="H6" s="45"/>
    </row>
    <row r="7" spans="1:8">
      <c r="A7" s="35"/>
      <c r="B7" s="47"/>
      <c r="C7" s="55"/>
      <c r="D7" s="35"/>
      <c r="E7" s="47"/>
      <c r="F7" s="47"/>
      <c r="G7" s="45"/>
      <c r="H7" s="45"/>
    </row>
    <row r="8" spans="1:8">
      <c r="A8" s="35"/>
      <c r="B8" s="47"/>
      <c r="C8" s="55"/>
      <c r="D8" s="47"/>
      <c r="E8" s="47"/>
      <c r="F8" s="47"/>
      <c r="G8" s="45"/>
      <c r="H8" s="45"/>
    </row>
    <row r="9" spans="1:8">
      <c r="A9" s="35"/>
      <c r="B9" s="47"/>
      <c r="C9" s="55"/>
      <c r="D9" s="47"/>
      <c r="E9" s="35"/>
      <c r="F9" s="35"/>
      <c r="G9" s="45"/>
      <c r="H9" s="45"/>
    </row>
    <row r="11" spans="1:8">
      <c r="A11" s="17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4:5">
      <c r="D12" s="8">
        <v>5.75</v>
      </c>
      <c r="E12" s="8">
        <f>INT(C12*D12)</f>
        <v>0</v>
      </c>
    </row>
  </sheetData>
  <mergeCells count="2">
    <mergeCell ref="G1:H1"/>
    <mergeCell ref="A3:A9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27" sqref="A27:E37"/>
    </sheetView>
  </sheetViews>
  <sheetFormatPr defaultColWidth="9" defaultRowHeight="14.25"/>
  <cols>
    <col min="1" max="1" width="10.6" customWidth="1"/>
  </cols>
  <sheetData>
    <row r="1" ht="22.5" spans="1:12">
      <c r="A1" s="64" t="s">
        <v>0</v>
      </c>
      <c r="B1" s="38" t="s">
        <v>443</v>
      </c>
      <c r="C1" s="53"/>
      <c r="D1" s="5"/>
      <c r="E1" s="41">
        <v>5.85</v>
      </c>
      <c r="F1" s="41"/>
      <c r="L1" t="str" cm="1">
        <f t="array" ref="L1:L20">_xlfn.TOCOL(B3:F6)</f>
        <v>粤VW0955</v>
      </c>
    </row>
    <row r="2" spans="1:12">
      <c r="A2" s="45"/>
      <c r="B2" s="45"/>
      <c r="C2" s="59"/>
      <c r="D2" s="45"/>
      <c r="E2" s="45"/>
      <c r="F2" s="45"/>
      <c r="L2" t="str">
        <v>粤VK2252</v>
      </c>
    </row>
    <row r="3" spans="1:12">
      <c r="A3" s="35" t="s">
        <v>3</v>
      </c>
      <c r="B3" s="35" t="s">
        <v>444</v>
      </c>
      <c r="C3" s="55" t="s">
        <v>445</v>
      </c>
      <c r="D3" s="47" t="s">
        <v>446</v>
      </c>
      <c r="E3" s="47" t="s">
        <v>447</v>
      </c>
      <c r="F3" s="35" t="s">
        <v>448</v>
      </c>
      <c r="L3" t="str">
        <v>粤V24628</v>
      </c>
    </row>
    <row r="4" spans="1:12">
      <c r="A4" s="35"/>
      <c r="B4" s="35" t="s">
        <v>449</v>
      </c>
      <c r="C4" s="65" t="s">
        <v>450</v>
      </c>
      <c r="D4" s="47" t="s">
        <v>451</v>
      </c>
      <c r="E4" s="66" t="s">
        <v>452</v>
      </c>
      <c r="F4" s="66" t="s">
        <v>453</v>
      </c>
      <c r="L4" t="str">
        <v>粤VA8585</v>
      </c>
    </row>
    <row r="5" spans="1:12">
      <c r="A5" s="35"/>
      <c r="B5" s="47" t="s">
        <v>454</v>
      </c>
      <c r="C5" s="55" t="s">
        <v>455</v>
      </c>
      <c r="D5" s="47" t="s">
        <v>456</v>
      </c>
      <c r="E5" s="47" t="s">
        <v>457</v>
      </c>
      <c r="F5" s="47" t="s">
        <v>458</v>
      </c>
      <c r="L5" t="str">
        <v>粤VJ1269</v>
      </c>
    </row>
    <row r="6" spans="1:12">
      <c r="A6" s="35"/>
      <c r="B6" s="67" t="s">
        <v>459</v>
      </c>
      <c r="C6" s="55"/>
      <c r="D6" s="47"/>
      <c r="E6" s="47"/>
      <c r="F6" s="47"/>
      <c r="L6" t="str">
        <v>粤VE3905</v>
      </c>
    </row>
    <row r="7" spans="1:12">
      <c r="A7" s="35"/>
      <c r="B7" s="47"/>
      <c r="C7" s="55"/>
      <c r="D7" s="35"/>
      <c r="E7" s="47"/>
      <c r="F7" s="47"/>
      <c r="L7" t="str">
        <v>闽FC1636</v>
      </c>
    </row>
    <row r="8" spans="1:12">
      <c r="A8" s="35"/>
      <c r="B8" s="47"/>
      <c r="C8" s="55"/>
      <c r="D8" s="47"/>
      <c r="E8" s="47"/>
      <c r="F8" s="47"/>
      <c r="L8" t="str">
        <v>粤VB6549</v>
      </c>
    </row>
    <row r="9" spans="1:12">
      <c r="A9" s="35"/>
      <c r="B9" s="47"/>
      <c r="C9" s="55"/>
      <c r="D9" s="47"/>
      <c r="E9" s="35"/>
      <c r="F9" s="35"/>
      <c r="L9" t="str">
        <v>粤V02572</v>
      </c>
    </row>
    <row r="10" spans="12:12">
      <c r="L10" t="str">
        <v>粤VX6757</v>
      </c>
    </row>
    <row r="11" spans="1:12">
      <c r="A11" s="17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  <c r="L11" t="str">
        <v>粤MY8211</v>
      </c>
    </row>
    <row r="12" spans="1:12">
      <c r="A12" s="23">
        <v>45923</v>
      </c>
      <c r="B12" s="24" t="s">
        <v>460</v>
      </c>
      <c r="C12" s="24">
        <v>129.68</v>
      </c>
      <c r="D12" s="8">
        <v>5.75</v>
      </c>
      <c r="E12" s="8">
        <f>INT(C12*D12)</f>
        <v>745</v>
      </c>
      <c r="L12" t="str">
        <v>粤V37282</v>
      </c>
    </row>
    <row r="13" spans="1:12">
      <c r="A13" s="23">
        <v>45925</v>
      </c>
      <c r="B13" s="24" t="s">
        <v>461</v>
      </c>
      <c r="C13" s="24">
        <v>147.87</v>
      </c>
      <c r="D13" s="8">
        <v>5.75</v>
      </c>
      <c r="E13" s="8">
        <f>INT(C13*D13)</f>
        <v>850</v>
      </c>
      <c r="L13" t="str">
        <v>粤VC2610</v>
      </c>
    </row>
    <row r="14" spans="1:12">
      <c r="A14" s="23">
        <v>45926</v>
      </c>
      <c r="B14" s="24" t="s">
        <v>460</v>
      </c>
      <c r="C14" s="24">
        <v>157.24</v>
      </c>
      <c r="D14" s="8">
        <v>5.75</v>
      </c>
      <c r="E14" s="8">
        <f t="shared" ref="E14:E26" si="0">INT(C14*D14)</f>
        <v>904</v>
      </c>
      <c r="L14" t="str">
        <v>粤VX6523</v>
      </c>
    </row>
    <row r="15" spans="1:12">
      <c r="A15" s="23">
        <v>45927</v>
      </c>
      <c r="B15" s="24" t="s">
        <v>462</v>
      </c>
      <c r="C15" s="24">
        <v>145.65</v>
      </c>
      <c r="D15" s="8">
        <v>5.75</v>
      </c>
      <c r="E15" s="8">
        <f t="shared" si="0"/>
        <v>837</v>
      </c>
      <c r="L15" t="str">
        <v>粤VV7982</v>
      </c>
    </row>
    <row r="16" spans="1:12">
      <c r="A16" s="23">
        <v>45927</v>
      </c>
      <c r="B16" s="24" t="s">
        <v>463</v>
      </c>
      <c r="C16" s="24">
        <v>183.8</v>
      </c>
      <c r="D16" s="8">
        <v>5.75</v>
      </c>
      <c r="E16" s="8">
        <f t="shared" si="0"/>
        <v>1056</v>
      </c>
      <c r="L16" t="str">
        <v>粤V60035</v>
      </c>
    </row>
    <row r="17" spans="1:12">
      <c r="A17" s="23">
        <v>45928</v>
      </c>
      <c r="B17" s="24" t="s">
        <v>464</v>
      </c>
      <c r="C17" s="24">
        <v>193</v>
      </c>
      <c r="D17" s="8">
        <v>5.85</v>
      </c>
      <c r="E17" s="8">
        <f t="shared" si="0"/>
        <v>1129</v>
      </c>
      <c r="L17">
        <v>0</v>
      </c>
    </row>
    <row r="18" spans="1:12">
      <c r="A18" s="23">
        <v>45928</v>
      </c>
      <c r="B18" s="24" t="s">
        <v>465</v>
      </c>
      <c r="C18" s="24">
        <v>145.5</v>
      </c>
      <c r="D18" s="8">
        <v>5.85</v>
      </c>
      <c r="E18" s="8">
        <f t="shared" si="0"/>
        <v>851</v>
      </c>
      <c r="L18">
        <v>0</v>
      </c>
    </row>
    <row r="19" spans="1:12">
      <c r="A19" s="23">
        <v>45928</v>
      </c>
      <c r="B19" s="24" t="s">
        <v>466</v>
      </c>
      <c r="C19" s="24">
        <v>142</v>
      </c>
      <c r="D19" s="8">
        <v>5.85</v>
      </c>
      <c r="E19" s="8">
        <f t="shared" si="0"/>
        <v>830</v>
      </c>
      <c r="L19">
        <v>0</v>
      </c>
    </row>
    <row r="20" spans="1:12">
      <c r="A20" s="23">
        <v>45928</v>
      </c>
      <c r="B20" s="24" t="s">
        <v>462</v>
      </c>
      <c r="C20" s="24">
        <v>354</v>
      </c>
      <c r="D20" s="8">
        <v>5.85</v>
      </c>
      <c r="E20" s="8">
        <f t="shared" si="0"/>
        <v>2070</v>
      </c>
      <c r="L20">
        <v>0</v>
      </c>
    </row>
    <row r="21" spans="1:5">
      <c r="A21" s="23">
        <v>45928</v>
      </c>
      <c r="B21" s="24" t="s">
        <v>467</v>
      </c>
      <c r="C21" s="24">
        <v>272.17</v>
      </c>
      <c r="D21" s="8">
        <v>5.85</v>
      </c>
      <c r="E21" s="8">
        <f t="shared" si="0"/>
        <v>1592</v>
      </c>
    </row>
    <row r="22" spans="1:5">
      <c r="A22" s="23">
        <v>45929</v>
      </c>
      <c r="B22" s="24" t="s">
        <v>468</v>
      </c>
      <c r="C22" s="24">
        <v>126.77</v>
      </c>
      <c r="D22" s="8">
        <v>5.85</v>
      </c>
      <c r="E22" s="8">
        <f t="shared" si="0"/>
        <v>741</v>
      </c>
    </row>
    <row r="23" spans="1:5">
      <c r="A23" s="23">
        <v>45930</v>
      </c>
      <c r="B23" s="24" t="s">
        <v>462</v>
      </c>
      <c r="C23" s="24">
        <v>147.76</v>
      </c>
      <c r="D23" s="8">
        <v>5.85</v>
      </c>
      <c r="E23" s="8">
        <f t="shared" si="0"/>
        <v>864</v>
      </c>
    </row>
    <row r="24" spans="1:5">
      <c r="A24" s="23">
        <v>45930</v>
      </c>
      <c r="B24" s="24" t="s">
        <v>469</v>
      </c>
      <c r="C24" s="24">
        <v>350</v>
      </c>
      <c r="D24" s="8">
        <v>5.85</v>
      </c>
      <c r="E24" s="8">
        <f t="shared" si="0"/>
        <v>2047</v>
      </c>
    </row>
    <row r="25" spans="1:5">
      <c r="A25" s="23">
        <v>45930</v>
      </c>
      <c r="B25" s="24" t="s">
        <v>460</v>
      </c>
      <c r="C25" s="24">
        <v>147.3</v>
      </c>
      <c r="D25" s="8">
        <v>5.85</v>
      </c>
      <c r="E25" s="8">
        <f t="shared" si="0"/>
        <v>861</v>
      </c>
    </row>
    <row r="26" spans="1:5">
      <c r="A26" s="23">
        <v>45931</v>
      </c>
      <c r="B26" s="24" t="s">
        <v>467</v>
      </c>
      <c r="C26" s="24">
        <v>134.77</v>
      </c>
      <c r="D26" s="8">
        <v>5.85</v>
      </c>
      <c r="E26" s="8">
        <f t="shared" si="0"/>
        <v>788</v>
      </c>
    </row>
    <row r="27" spans="1:5">
      <c r="A27" s="23">
        <v>45932</v>
      </c>
      <c r="B27" s="24" t="s">
        <v>467</v>
      </c>
      <c r="C27" s="24">
        <v>134.82</v>
      </c>
      <c r="D27" s="8">
        <v>5.85</v>
      </c>
      <c r="E27" s="8">
        <f t="shared" ref="E27:E36" si="1">INT(C27*D27)</f>
        <v>788</v>
      </c>
    </row>
    <row r="28" spans="1:5">
      <c r="A28" s="23">
        <v>45932</v>
      </c>
      <c r="B28" s="24" t="s">
        <v>468</v>
      </c>
      <c r="C28" s="24">
        <v>142.94</v>
      </c>
      <c r="D28" s="8">
        <v>5.85</v>
      </c>
      <c r="E28" s="8">
        <f t="shared" si="1"/>
        <v>836</v>
      </c>
    </row>
    <row r="29" spans="1:5">
      <c r="A29" s="23">
        <v>45932</v>
      </c>
      <c r="B29" s="24" t="s">
        <v>470</v>
      </c>
      <c r="C29" s="24">
        <v>400</v>
      </c>
      <c r="D29" s="8">
        <v>5.85</v>
      </c>
      <c r="E29" s="8">
        <f t="shared" si="1"/>
        <v>2340</v>
      </c>
    </row>
    <row r="30" spans="1:5">
      <c r="A30" s="23">
        <v>45932</v>
      </c>
      <c r="B30" s="24" t="s">
        <v>463</v>
      </c>
      <c r="C30" s="24">
        <v>151.72</v>
      </c>
      <c r="D30" s="8">
        <v>5.85</v>
      </c>
      <c r="E30" s="8">
        <f t="shared" si="1"/>
        <v>887</v>
      </c>
    </row>
    <row r="31" spans="1:5">
      <c r="A31" s="23">
        <v>45933</v>
      </c>
      <c r="B31" s="24" t="s">
        <v>468</v>
      </c>
      <c r="C31" s="24">
        <v>130.4</v>
      </c>
      <c r="D31" s="8">
        <v>5.85</v>
      </c>
      <c r="E31" s="8">
        <f t="shared" si="1"/>
        <v>762</v>
      </c>
    </row>
    <row r="32" spans="1:5">
      <c r="A32" s="23">
        <v>45933</v>
      </c>
      <c r="B32" s="24" t="s">
        <v>464</v>
      </c>
      <c r="C32" s="24">
        <v>192</v>
      </c>
      <c r="D32" s="8">
        <v>5.85</v>
      </c>
      <c r="E32" s="8">
        <f t="shared" si="1"/>
        <v>1123</v>
      </c>
    </row>
    <row r="33" spans="1:5">
      <c r="A33" s="23">
        <v>45933</v>
      </c>
      <c r="B33" s="24" t="s">
        <v>471</v>
      </c>
      <c r="C33" s="24">
        <v>350</v>
      </c>
      <c r="D33" s="8">
        <v>5.85</v>
      </c>
      <c r="E33" s="8">
        <f t="shared" si="1"/>
        <v>2047</v>
      </c>
    </row>
    <row r="34" spans="1:5">
      <c r="A34" s="23">
        <v>45933</v>
      </c>
      <c r="B34" s="24" t="s">
        <v>466</v>
      </c>
      <c r="C34" s="24">
        <v>165</v>
      </c>
      <c r="D34" s="8">
        <v>5.85</v>
      </c>
      <c r="E34" s="8">
        <f t="shared" si="1"/>
        <v>965</v>
      </c>
    </row>
    <row r="35" spans="1:5">
      <c r="A35" s="23">
        <v>45934</v>
      </c>
      <c r="B35" s="24" t="s">
        <v>460</v>
      </c>
      <c r="C35" s="24">
        <v>111.81</v>
      </c>
      <c r="D35" s="8">
        <v>5.85</v>
      </c>
      <c r="E35" s="8">
        <f t="shared" si="1"/>
        <v>654</v>
      </c>
    </row>
    <row r="36" spans="1:5">
      <c r="A36" s="23">
        <v>45934</v>
      </c>
      <c r="B36" s="24" t="s">
        <v>462</v>
      </c>
      <c r="C36" s="24">
        <v>140.38</v>
      </c>
      <c r="D36" s="8">
        <v>5.85</v>
      </c>
      <c r="E36" s="8">
        <f t="shared" si="1"/>
        <v>821</v>
      </c>
    </row>
    <row r="37" spans="5:5">
      <c r="E37">
        <f>SUM(E27:E36)</f>
        <v>11223</v>
      </c>
    </row>
  </sheetData>
  <mergeCells count="1">
    <mergeCell ref="A3:A9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topLeftCell="A43" workbookViewId="0">
      <selection activeCell="E62" sqref="E62:E75"/>
    </sheetView>
  </sheetViews>
  <sheetFormatPr defaultColWidth="9" defaultRowHeight="14.25"/>
  <cols>
    <col min="1" max="1" width="11.1333333333333" customWidth="1"/>
  </cols>
  <sheetData>
    <row r="1" ht="22.5" spans="1:14">
      <c r="A1" s="37" t="s">
        <v>0</v>
      </c>
      <c r="B1" s="38" t="s">
        <v>472</v>
      </c>
      <c r="C1" s="53"/>
      <c r="D1" s="5"/>
      <c r="E1" s="27" t="s">
        <v>2</v>
      </c>
      <c r="F1" s="41"/>
      <c r="G1" s="58"/>
      <c r="H1" s="43"/>
      <c r="N1" t="str" cm="1">
        <f t="array" ref="N1:N45">_xlfn.TOCOL(B3:F11)</f>
        <v>粤VV8785</v>
      </c>
    </row>
    <row r="2" spans="1:14">
      <c r="A2" s="44"/>
      <c r="B2" s="45"/>
      <c r="C2" s="59"/>
      <c r="D2" s="45"/>
      <c r="E2" s="45"/>
      <c r="F2" s="45"/>
      <c r="G2" s="45"/>
      <c r="H2" s="45"/>
      <c r="N2" t="str">
        <v>粤V28395</v>
      </c>
    </row>
    <row r="3" spans="1:14">
      <c r="A3" s="60" t="s">
        <v>3</v>
      </c>
      <c r="B3" s="47" t="s">
        <v>473</v>
      </c>
      <c r="C3" s="55" t="s">
        <v>474</v>
      </c>
      <c r="D3" s="47" t="s">
        <v>475</v>
      </c>
      <c r="E3" s="47" t="s">
        <v>476</v>
      </c>
      <c r="F3" s="47" t="s">
        <v>477</v>
      </c>
      <c r="G3" s="45"/>
      <c r="H3" s="45"/>
      <c r="N3" t="str">
        <v>粤V03056</v>
      </c>
    </row>
    <row r="4" spans="1:14">
      <c r="A4" s="61"/>
      <c r="B4" s="47" t="s">
        <v>478</v>
      </c>
      <c r="C4" s="55" t="s">
        <v>479</v>
      </c>
      <c r="D4" s="47" t="s">
        <v>480</v>
      </c>
      <c r="E4" s="47" t="s">
        <v>481</v>
      </c>
      <c r="F4" s="47" t="s">
        <v>482</v>
      </c>
      <c r="G4" s="45"/>
      <c r="H4" s="45"/>
      <c r="N4" t="str">
        <v>粤VR4233</v>
      </c>
    </row>
    <row r="5" spans="1:14">
      <c r="A5" s="61"/>
      <c r="B5" s="47" t="s">
        <v>483</v>
      </c>
      <c r="C5" s="55" t="s">
        <v>484</v>
      </c>
      <c r="D5" s="47" t="s">
        <v>485</v>
      </c>
      <c r="E5" s="47" t="s">
        <v>486</v>
      </c>
      <c r="F5" s="47" t="s">
        <v>487</v>
      </c>
      <c r="G5" s="45"/>
      <c r="H5" s="45"/>
      <c r="N5" t="str">
        <v>粤V68489</v>
      </c>
    </row>
    <row r="6" spans="1:14">
      <c r="A6" s="61"/>
      <c r="B6" s="47" t="s">
        <v>488</v>
      </c>
      <c r="C6" s="55" t="s">
        <v>489</v>
      </c>
      <c r="D6" s="48" t="s">
        <v>490</v>
      </c>
      <c r="E6" s="47" t="s">
        <v>491</v>
      </c>
      <c r="F6" s="48" t="s">
        <v>492</v>
      </c>
      <c r="G6" s="45"/>
      <c r="H6" s="45"/>
      <c r="N6" t="str">
        <v>粤V03612</v>
      </c>
    </row>
    <row r="7" spans="1:14">
      <c r="A7" s="61"/>
      <c r="B7" s="47" t="s">
        <v>493</v>
      </c>
      <c r="C7" s="55" t="s">
        <v>494</v>
      </c>
      <c r="D7" s="47" t="s">
        <v>495</v>
      </c>
      <c r="E7" s="47" t="s">
        <v>496</v>
      </c>
      <c r="F7" s="47" t="s">
        <v>497</v>
      </c>
      <c r="G7" s="45"/>
      <c r="H7" s="45"/>
      <c r="N7" t="str">
        <v>粤VT8968</v>
      </c>
    </row>
    <row r="8" spans="1:14">
      <c r="A8" s="61"/>
      <c r="B8" s="48" t="s">
        <v>498</v>
      </c>
      <c r="C8" s="55" t="s">
        <v>499</v>
      </c>
      <c r="D8" s="48" t="s">
        <v>500</v>
      </c>
      <c r="E8" s="47" t="s">
        <v>501</v>
      </c>
      <c r="F8" s="47" t="s">
        <v>502</v>
      </c>
      <c r="G8" s="45"/>
      <c r="H8" s="45"/>
      <c r="N8" t="str">
        <v>粤V89111</v>
      </c>
    </row>
    <row r="9" spans="1:14">
      <c r="A9" s="62"/>
      <c r="B9" s="47" t="s">
        <v>503</v>
      </c>
      <c r="C9" s="55" t="s">
        <v>504</v>
      </c>
      <c r="D9" s="47" t="s">
        <v>505</v>
      </c>
      <c r="E9" s="35" t="s">
        <v>506</v>
      </c>
      <c r="F9" s="35" t="s">
        <v>507</v>
      </c>
      <c r="N9" t="str">
        <v>粤V99019</v>
      </c>
    </row>
    <row r="10" spans="1:14">
      <c r="A10" s="14"/>
      <c r="B10" s="8" t="s">
        <v>508</v>
      </c>
      <c r="C10" s="35" t="s">
        <v>509</v>
      </c>
      <c r="D10" s="13" t="s">
        <v>510</v>
      </c>
      <c r="E10" s="13" t="s">
        <v>511</v>
      </c>
      <c r="F10" s="47" t="s">
        <v>512</v>
      </c>
      <c r="G10" s="45"/>
      <c r="H10" s="45"/>
      <c r="N10" t="str">
        <v>粤D88434</v>
      </c>
    </row>
    <row r="11" spans="1:14">
      <c r="A11" s="14"/>
      <c r="B11" s="13" t="s">
        <v>513</v>
      </c>
      <c r="C11" s="47" t="s">
        <v>514</v>
      </c>
      <c r="D11" s="13"/>
      <c r="E11" s="13"/>
      <c r="F11" s="13"/>
      <c r="G11" s="45"/>
      <c r="H11" s="45"/>
      <c r="N11" t="str">
        <v>粤VM0129</v>
      </c>
    </row>
    <row r="12" spans="1:14">
      <c r="A12" s="8"/>
      <c r="B12" s="8"/>
      <c r="C12" s="8"/>
      <c r="D12" s="8"/>
      <c r="E12" s="8"/>
      <c r="F12" s="8"/>
      <c r="N12" t="str">
        <v>粤VY5715</v>
      </c>
    </row>
    <row r="13" spans="1:14">
      <c r="A13" s="8"/>
      <c r="B13" s="8"/>
      <c r="C13" s="8"/>
      <c r="D13" s="8"/>
      <c r="E13" s="8"/>
      <c r="F13" s="8"/>
      <c r="N13" t="str">
        <v>粤VG9659</v>
      </c>
    </row>
    <row r="14" spans="1:14">
      <c r="A14" s="8"/>
      <c r="B14" s="8"/>
      <c r="C14" s="8"/>
      <c r="D14" s="8"/>
      <c r="E14" s="8"/>
      <c r="F14" s="8"/>
      <c r="N14" t="str">
        <v>粤VD6955</v>
      </c>
    </row>
    <row r="15" spans="1:14">
      <c r="A15" s="8"/>
      <c r="B15" s="8"/>
      <c r="C15" s="8"/>
      <c r="D15" s="8"/>
      <c r="E15" s="8"/>
      <c r="F15" s="8"/>
      <c r="N15" t="str">
        <v>粤VT6648</v>
      </c>
    </row>
    <row r="16" spans="1:14">
      <c r="A16" s="8"/>
      <c r="B16" s="8"/>
      <c r="C16" s="8"/>
      <c r="D16" s="8"/>
      <c r="E16" s="8"/>
      <c r="F16" s="8"/>
      <c r="N16" t="str">
        <v>粤VA8711</v>
      </c>
    </row>
    <row r="17" spans="14:14">
      <c r="N17" t="str">
        <v>粤V97339</v>
      </c>
    </row>
    <row r="18" spans="14:14">
      <c r="N18" t="str">
        <v>粤VV0871</v>
      </c>
    </row>
    <row r="19" spans="1:14">
      <c r="A19" s="16" t="s">
        <v>36</v>
      </c>
      <c r="B19" s="17" t="s">
        <v>37</v>
      </c>
      <c r="C19" s="18" t="s">
        <v>38</v>
      </c>
      <c r="D19" s="17" t="s">
        <v>39</v>
      </c>
      <c r="E19" s="17" t="s">
        <v>40</v>
      </c>
      <c r="F19" s="17" t="s">
        <v>41</v>
      </c>
      <c r="G19" s="17" t="s">
        <v>41</v>
      </c>
      <c r="H19" s="17" t="s">
        <v>41</v>
      </c>
      <c r="N19" t="str">
        <v>粤VF6831</v>
      </c>
    </row>
    <row r="20" spans="1:14">
      <c r="A20" s="23">
        <v>45923</v>
      </c>
      <c r="B20" s="24" t="s">
        <v>515</v>
      </c>
      <c r="C20" s="24">
        <v>145.71</v>
      </c>
      <c r="D20" s="63" t="str">
        <f>IF(C20&gt;=200,"5.75",IF(C20&lt;200,"5.95"))</f>
        <v>5.95</v>
      </c>
      <c r="E20" s="8">
        <f t="shared" ref="E20" si="0">INT(C20*D20)</f>
        <v>866</v>
      </c>
      <c r="N20" t="str">
        <v>桂E27128</v>
      </c>
    </row>
    <row r="21" spans="1:14">
      <c r="A21" s="23">
        <v>45923</v>
      </c>
      <c r="B21" s="24" t="s">
        <v>516</v>
      </c>
      <c r="C21" s="24">
        <v>88.13</v>
      </c>
      <c r="D21" s="63" t="str">
        <f t="shared" ref="D21:D29" si="1">IF(C21&gt;=200,"5.75",IF(C21&lt;200,"5.95"))</f>
        <v>5.95</v>
      </c>
      <c r="E21" s="8">
        <f t="shared" ref="E21:E29" si="2">INT(C21*D21)</f>
        <v>524</v>
      </c>
      <c r="N21" t="str">
        <v>粤BDV443</v>
      </c>
    </row>
    <row r="22" spans="1:14">
      <c r="A22" s="23">
        <v>45923</v>
      </c>
      <c r="B22" s="24" t="s">
        <v>517</v>
      </c>
      <c r="C22" s="24">
        <v>110.97</v>
      </c>
      <c r="D22" s="63" t="str">
        <f t="shared" si="1"/>
        <v>5.95</v>
      </c>
      <c r="E22" s="8">
        <f t="shared" si="2"/>
        <v>660</v>
      </c>
      <c r="N22" t="str">
        <v>粤VPH261</v>
      </c>
    </row>
    <row r="23" spans="1:14">
      <c r="A23" s="23">
        <v>45923</v>
      </c>
      <c r="B23" s="24" t="s">
        <v>518</v>
      </c>
      <c r="C23" s="24">
        <v>40.43</v>
      </c>
      <c r="D23" s="63" t="str">
        <f t="shared" si="1"/>
        <v>5.95</v>
      </c>
      <c r="E23" s="8">
        <f t="shared" si="2"/>
        <v>240</v>
      </c>
      <c r="N23" t="str">
        <v>粤VR6232</v>
      </c>
    </row>
    <row r="24" spans="1:14">
      <c r="A24" s="23">
        <v>45924</v>
      </c>
      <c r="B24" s="24" t="s">
        <v>519</v>
      </c>
      <c r="C24" s="24">
        <v>100.01</v>
      </c>
      <c r="D24" s="63" t="str">
        <f t="shared" si="1"/>
        <v>5.95</v>
      </c>
      <c r="E24" s="8">
        <f t="shared" si="2"/>
        <v>595</v>
      </c>
      <c r="N24" t="str">
        <v>粤VG5648</v>
      </c>
    </row>
    <row r="25" spans="1:14">
      <c r="A25" s="23">
        <v>45924</v>
      </c>
      <c r="B25" s="24" t="s">
        <v>520</v>
      </c>
      <c r="C25" s="24">
        <v>221.2</v>
      </c>
      <c r="D25" s="63" t="str">
        <f t="shared" si="1"/>
        <v>5.75</v>
      </c>
      <c r="E25" s="8">
        <f t="shared" si="2"/>
        <v>1271</v>
      </c>
      <c r="N25" t="str">
        <v>粤VN0683</v>
      </c>
    </row>
    <row r="26" spans="1:14">
      <c r="A26" s="23">
        <v>45924</v>
      </c>
      <c r="B26" s="24" t="s">
        <v>521</v>
      </c>
      <c r="C26" s="24">
        <v>210.85</v>
      </c>
      <c r="D26" s="63" t="str">
        <f t="shared" si="1"/>
        <v>5.75</v>
      </c>
      <c r="E26" s="8">
        <f t="shared" si="2"/>
        <v>1212</v>
      </c>
      <c r="N26" t="str">
        <v>赣FB1372</v>
      </c>
    </row>
    <row r="27" spans="1:14">
      <c r="A27" s="23">
        <v>45925</v>
      </c>
      <c r="B27" s="24" t="s">
        <v>522</v>
      </c>
      <c r="C27" s="24">
        <v>217.61</v>
      </c>
      <c r="D27" s="63" t="str">
        <f t="shared" si="1"/>
        <v>5.75</v>
      </c>
      <c r="E27" s="8">
        <f t="shared" si="2"/>
        <v>1251</v>
      </c>
      <c r="N27" t="str">
        <v>粤VR5076</v>
      </c>
    </row>
    <row r="28" spans="1:14">
      <c r="A28" s="23">
        <v>45925</v>
      </c>
      <c r="B28" s="24" t="s">
        <v>523</v>
      </c>
      <c r="C28" s="24">
        <v>73.23</v>
      </c>
      <c r="D28" s="63" t="str">
        <f t="shared" si="1"/>
        <v>5.95</v>
      </c>
      <c r="E28" s="8">
        <f t="shared" si="2"/>
        <v>435</v>
      </c>
      <c r="N28" t="str">
        <v>粤VR5789</v>
      </c>
    </row>
    <row r="29" spans="1:14">
      <c r="A29" s="23">
        <v>45925</v>
      </c>
      <c r="B29" s="24" t="s">
        <v>524</v>
      </c>
      <c r="C29" s="24">
        <v>287.8</v>
      </c>
      <c r="D29" s="63" t="str">
        <f t="shared" si="1"/>
        <v>5.75</v>
      </c>
      <c r="E29" s="8">
        <f t="shared" si="2"/>
        <v>1654</v>
      </c>
      <c r="N29" t="str">
        <v>粤VU0576</v>
      </c>
    </row>
    <row r="30" spans="1:14">
      <c r="A30" s="23">
        <v>45926</v>
      </c>
      <c r="B30" s="24" t="s">
        <v>525</v>
      </c>
      <c r="C30" s="24">
        <v>260.22</v>
      </c>
      <c r="D30" s="63" t="str">
        <f t="shared" ref="D30:D42" si="3">IF(C30&gt;=200,"5.75",IF(C30&lt;200,"5.95"))</f>
        <v>5.75</v>
      </c>
      <c r="E30" s="8">
        <f t="shared" ref="E30:E47" si="4">INT(C30*D30)</f>
        <v>1496</v>
      </c>
      <c r="N30" t="str">
        <v>粤VF3013</v>
      </c>
    </row>
    <row r="31" spans="1:14">
      <c r="A31" s="23">
        <v>45926</v>
      </c>
      <c r="B31" s="24" t="s">
        <v>526</v>
      </c>
      <c r="C31" s="24">
        <v>267.92</v>
      </c>
      <c r="D31" s="63" t="str">
        <f t="shared" si="3"/>
        <v>5.75</v>
      </c>
      <c r="E31" s="8">
        <f t="shared" si="4"/>
        <v>1540</v>
      </c>
      <c r="N31" t="str">
        <v>粤VR3016</v>
      </c>
    </row>
    <row r="32" spans="1:14">
      <c r="A32" s="23">
        <v>45926</v>
      </c>
      <c r="B32" s="24" t="s">
        <v>527</v>
      </c>
      <c r="C32" s="24">
        <v>300.77</v>
      </c>
      <c r="D32" s="63" t="str">
        <f t="shared" si="3"/>
        <v>5.75</v>
      </c>
      <c r="E32" s="8">
        <f t="shared" si="4"/>
        <v>1729</v>
      </c>
      <c r="N32" t="str">
        <v>粤V02135</v>
      </c>
    </row>
    <row r="33" spans="1:14">
      <c r="A33" s="23">
        <v>45926</v>
      </c>
      <c r="B33" s="24" t="s">
        <v>528</v>
      </c>
      <c r="C33" s="24">
        <v>292.01</v>
      </c>
      <c r="D33" s="63" t="str">
        <f t="shared" si="3"/>
        <v>5.75</v>
      </c>
      <c r="E33" s="8">
        <f t="shared" si="4"/>
        <v>1679</v>
      </c>
      <c r="N33" t="str">
        <v>粤D52N31</v>
      </c>
    </row>
    <row r="34" spans="1:14">
      <c r="A34" s="23">
        <v>45926</v>
      </c>
      <c r="B34" s="24" t="s">
        <v>529</v>
      </c>
      <c r="C34" s="24">
        <v>50.24</v>
      </c>
      <c r="D34" s="63" t="str">
        <f t="shared" si="3"/>
        <v>5.95</v>
      </c>
      <c r="E34" s="8">
        <f t="shared" si="4"/>
        <v>298</v>
      </c>
      <c r="N34" t="str">
        <v>粤VNV905</v>
      </c>
    </row>
    <row r="35" spans="1:14">
      <c r="A35" s="23">
        <v>45927</v>
      </c>
      <c r="B35" s="24" t="s">
        <v>530</v>
      </c>
      <c r="C35" s="24">
        <v>235.85</v>
      </c>
      <c r="D35" s="63" t="str">
        <f t="shared" si="3"/>
        <v>5.75</v>
      </c>
      <c r="E35" s="8">
        <f t="shared" si="4"/>
        <v>1356</v>
      </c>
      <c r="N35" t="str">
        <v>粤VNM955</v>
      </c>
    </row>
    <row r="36" spans="1:14">
      <c r="A36" s="23">
        <v>45927</v>
      </c>
      <c r="B36" s="24" t="s">
        <v>531</v>
      </c>
      <c r="C36" s="24">
        <v>329.23</v>
      </c>
      <c r="D36" s="63" t="str">
        <f t="shared" si="3"/>
        <v>5.75</v>
      </c>
      <c r="E36" s="8">
        <f t="shared" si="4"/>
        <v>1893</v>
      </c>
      <c r="N36" t="str">
        <v>粤V27S00</v>
      </c>
    </row>
    <row r="37" spans="1:14">
      <c r="A37" s="23">
        <v>45927</v>
      </c>
      <c r="B37" s="24" t="s">
        <v>532</v>
      </c>
      <c r="C37" s="24">
        <v>218.34</v>
      </c>
      <c r="D37" s="63" t="str">
        <f t="shared" si="3"/>
        <v>5.75</v>
      </c>
      <c r="E37" s="8">
        <f t="shared" si="4"/>
        <v>1255</v>
      </c>
      <c r="N37" t="str">
        <v>赣CBM909</v>
      </c>
    </row>
    <row r="38" spans="1:14">
      <c r="A38" s="23">
        <v>45927</v>
      </c>
      <c r="B38" s="24" t="s">
        <v>533</v>
      </c>
      <c r="C38" s="24">
        <v>223.61</v>
      </c>
      <c r="D38" s="63" t="str">
        <f t="shared" si="3"/>
        <v>5.75</v>
      </c>
      <c r="E38" s="8">
        <f t="shared" si="4"/>
        <v>1285</v>
      </c>
      <c r="N38" t="str">
        <v>粤VR5212</v>
      </c>
    </row>
    <row r="39" spans="1:14">
      <c r="A39" s="23">
        <v>45927</v>
      </c>
      <c r="B39" s="24" t="s">
        <v>534</v>
      </c>
      <c r="C39" s="24">
        <v>92.07</v>
      </c>
      <c r="D39" s="63" t="str">
        <f t="shared" si="3"/>
        <v>5.95</v>
      </c>
      <c r="E39" s="8">
        <f t="shared" si="4"/>
        <v>547</v>
      </c>
      <c r="N39" t="str">
        <v>粤VMJ276</v>
      </c>
    </row>
    <row r="40" spans="1:14">
      <c r="A40" s="23">
        <v>45927</v>
      </c>
      <c r="B40" s="24" t="s">
        <v>535</v>
      </c>
      <c r="C40" s="24">
        <v>80.65</v>
      </c>
      <c r="D40" s="63" t="str">
        <f t="shared" si="3"/>
        <v>5.95</v>
      </c>
      <c r="E40" s="8">
        <f t="shared" si="4"/>
        <v>479</v>
      </c>
      <c r="N40" t="str">
        <v>粤V21X63</v>
      </c>
    </row>
    <row r="41" spans="1:14">
      <c r="A41" s="23">
        <v>45927</v>
      </c>
      <c r="B41" s="24" t="s">
        <v>536</v>
      </c>
      <c r="C41" s="24">
        <v>53.69</v>
      </c>
      <c r="D41" s="63" t="str">
        <f t="shared" si="3"/>
        <v>5.95</v>
      </c>
      <c r="E41" s="8">
        <f t="shared" si="4"/>
        <v>319</v>
      </c>
      <c r="N41" t="str">
        <v>粤V74118</v>
      </c>
    </row>
    <row r="42" spans="1:14">
      <c r="A42" s="23">
        <v>45927</v>
      </c>
      <c r="B42" s="24" t="s">
        <v>537</v>
      </c>
      <c r="C42" s="24">
        <v>205.79</v>
      </c>
      <c r="D42" s="63" t="str">
        <f t="shared" si="3"/>
        <v>5.75</v>
      </c>
      <c r="E42" s="8">
        <f t="shared" si="4"/>
        <v>1183</v>
      </c>
      <c r="N42" t="str">
        <v>粤VQ8208</v>
      </c>
    </row>
    <row r="43" spans="1:14">
      <c r="A43" s="23">
        <v>45928</v>
      </c>
      <c r="B43" s="24" t="s">
        <v>538</v>
      </c>
      <c r="C43" s="24">
        <v>137.77</v>
      </c>
      <c r="D43" s="63" t="str">
        <f>IF(C43&gt;=200,"5.85",IF(C43&lt;200,"5.95"))</f>
        <v>5.95</v>
      </c>
      <c r="E43" s="8">
        <f t="shared" si="4"/>
        <v>819</v>
      </c>
      <c r="N43">
        <v>0</v>
      </c>
    </row>
    <row r="44" spans="1:14">
      <c r="A44" s="23">
        <v>45928</v>
      </c>
      <c r="B44" s="24" t="s">
        <v>515</v>
      </c>
      <c r="C44" s="24">
        <v>200</v>
      </c>
      <c r="D44" s="63" t="str">
        <f>IF(C44&gt;=200,"5.85",IF(C44&lt;200,"5.95"))</f>
        <v>5.85</v>
      </c>
      <c r="E44" s="8">
        <f t="shared" si="4"/>
        <v>1170</v>
      </c>
      <c r="N44">
        <v>0</v>
      </c>
    </row>
    <row r="45" spans="1:14">
      <c r="A45" s="23">
        <v>45928</v>
      </c>
      <c r="B45" s="24" t="s">
        <v>539</v>
      </c>
      <c r="C45" s="24">
        <v>115.15</v>
      </c>
      <c r="D45" s="63" t="str">
        <f>IF(C45&gt;=200,"5.85",IF(C45&lt;200,"5.95"))</f>
        <v>5.95</v>
      </c>
      <c r="E45" s="8">
        <f t="shared" si="4"/>
        <v>685</v>
      </c>
      <c r="N45">
        <v>0</v>
      </c>
    </row>
    <row r="46" spans="1:5">
      <c r="A46" s="23">
        <v>45928</v>
      </c>
      <c r="B46" s="24" t="s">
        <v>523</v>
      </c>
      <c r="C46" s="24">
        <v>73.37</v>
      </c>
      <c r="D46" s="63" t="str">
        <f>IF(C46&gt;=200,"5.85",IF(C46&lt;200,"5.95"))</f>
        <v>5.95</v>
      </c>
      <c r="E46" s="8">
        <f t="shared" si="4"/>
        <v>436</v>
      </c>
    </row>
    <row r="47" spans="1:5">
      <c r="A47" s="23">
        <v>45928</v>
      </c>
      <c r="B47" s="24" t="s">
        <v>540</v>
      </c>
      <c r="C47" s="24">
        <v>232.25</v>
      </c>
      <c r="D47" s="63" t="str">
        <f>IF(C47&gt;=200,"5.85",IF(C47&lt;200,"5.95"))</f>
        <v>5.85</v>
      </c>
      <c r="E47" s="8">
        <f t="shared" si="4"/>
        <v>1358</v>
      </c>
    </row>
    <row r="48" spans="1:5">
      <c r="A48" s="23"/>
      <c r="B48" s="24"/>
      <c r="C48" s="24"/>
      <c r="D48" s="63"/>
      <c r="E48" s="8"/>
    </row>
    <row r="49" spans="1:5">
      <c r="A49" s="23">
        <v>45929</v>
      </c>
      <c r="B49" s="24" t="s">
        <v>522</v>
      </c>
      <c r="C49" s="24">
        <v>322.06</v>
      </c>
      <c r="D49" s="63" t="str">
        <f t="shared" ref="D49:D61" si="5">IF(C49&gt;=200,"5.85",IF(C49&lt;200,"5.95"))</f>
        <v>5.85</v>
      </c>
      <c r="E49" s="8">
        <f t="shared" ref="E49:E61" si="6">INT(C49*D49)</f>
        <v>1884</v>
      </c>
    </row>
    <row r="50" spans="1:5">
      <c r="A50" s="23">
        <v>45929</v>
      </c>
      <c r="B50" s="24" t="s">
        <v>536</v>
      </c>
      <c r="C50" s="24">
        <v>53.65</v>
      </c>
      <c r="D50" s="63" t="str">
        <f t="shared" si="5"/>
        <v>5.95</v>
      </c>
      <c r="E50" s="8">
        <f t="shared" si="6"/>
        <v>319</v>
      </c>
    </row>
    <row r="51" spans="1:5">
      <c r="A51" s="23">
        <v>45929</v>
      </c>
      <c r="B51" s="24" t="s">
        <v>527</v>
      </c>
      <c r="C51" s="24">
        <v>214.08</v>
      </c>
      <c r="D51" s="63" t="str">
        <f t="shared" si="5"/>
        <v>5.85</v>
      </c>
      <c r="E51" s="8">
        <f t="shared" si="6"/>
        <v>1252</v>
      </c>
    </row>
    <row r="52" spans="1:5">
      <c r="A52" s="23">
        <v>45929</v>
      </c>
      <c r="B52" s="24" t="s">
        <v>535</v>
      </c>
      <c r="C52" s="24">
        <v>86.13</v>
      </c>
      <c r="D52" s="63" t="str">
        <f t="shared" si="5"/>
        <v>5.95</v>
      </c>
      <c r="E52" s="8">
        <f t="shared" si="6"/>
        <v>512</v>
      </c>
    </row>
    <row r="53" spans="1:5">
      <c r="A53" s="23">
        <v>45929</v>
      </c>
      <c r="B53" s="24" t="s">
        <v>521</v>
      </c>
      <c r="C53" s="24">
        <v>42.84</v>
      </c>
      <c r="D53" s="63" t="str">
        <f t="shared" si="5"/>
        <v>5.95</v>
      </c>
      <c r="E53" s="8">
        <f t="shared" si="6"/>
        <v>254</v>
      </c>
    </row>
    <row r="54" spans="1:5">
      <c r="A54" s="23">
        <v>45929</v>
      </c>
      <c r="B54" s="24" t="s">
        <v>518</v>
      </c>
      <c r="C54" s="24">
        <v>142.45</v>
      </c>
      <c r="D54" s="63" t="str">
        <f t="shared" si="5"/>
        <v>5.95</v>
      </c>
      <c r="E54" s="8">
        <f t="shared" si="6"/>
        <v>847</v>
      </c>
    </row>
    <row r="55" spans="1:5">
      <c r="A55" s="23">
        <v>45930</v>
      </c>
      <c r="B55" s="24" t="s">
        <v>518</v>
      </c>
      <c r="C55" s="24">
        <v>338.27</v>
      </c>
      <c r="D55" s="63" t="str">
        <f t="shared" si="5"/>
        <v>5.85</v>
      </c>
      <c r="E55" s="8">
        <f t="shared" si="6"/>
        <v>1978</v>
      </c>
    </row>
    <row r="56" spans="1:5">
      <c r="A56" s="23">
        <v>45930</v>
      </c>
      <c r="B56" s="24" t="s">
        <v>541</v>
      </c>
      <c r="C56" s="24">
        <v>317.12</v>
      </c>
      <c r="D56" s="63" t="str">
        <f t="shared" si="5"/>
        <v>5.85</v>
      </c>
      <c r="E56" s="8">
        <f t="shared" si="6"/>
        <v>1855</v>
      </c>
    </row>
    <row r="57" spans="1:5">
      <c r="A57" s="23">
        <v>45930</v>
      </c>
      <c r="B57" s="24" t="s">
        <v>516</v>
      </c>
      <c r="C57" s="24">
        <v>61.1</v>
      </c>
      <c r="D57" s="63" t="str">
        <f t="shared" si="5"/>
        <v>5.95</v>
      </c>
      <c r="E57" s="8">
        <f t="shared" si="6"/>
        <v>363</v>
      </c>
    </row>
    <row r="58" spans="1:5">
      <c r="A58" s="23">
        <v>45930</v>
      </c>
      <c r="B58" s="24" t="s">
        <v>521</v>
      </c>
      <c r="C58" s="24">
        <v>37.93</v>
      </c>
      <c r="D58" s="63" t="str">
        <f t="shared" si="5"/>
        <v>5.95</v>
      </c>
      <c r="E58" s="8">
        <f t="shared" si="6"/>
        <v>225</v>
      </c>
    </row>
    <row r="59" spans="1:5">
      <c r="A59" s="23">
        <v>45931</v>
      </c>
      <c r="B59" s="24" t="s">
        <v>532</v>
      </c>
      <c r="C59" s="24">
        <v>211.36</v>
      </c>
      <c r="D59" s="63" t="str">
        <f t="shared" si="5"/>
        <v>5.85</v>
      </c>
      <c r="E59" s="8">
        <f t="shared" si="6"/>
        <v>1236</v>
      </c>
    </row>
    <row r="60" spans="1:5">
      <c r="A60" s="23">
        <v>45931</v>
      </c>
      <c r="B60" s="24" t="s">
        <v>536</v>
      </c>
      <c r="C60" s="24">
        <v>56.12</v>
      </c>
      <c r="D60" s="63" t="str">
        <f t="shared" si="5"/>
        <v>5.95</v>
      </c>
      <c r="E60" s="8">
        <f t="shared" si="6"/>
        <v>333</v>
      </c>
    </row>
    <row r="61" spans="1:5">
      <c r="A61" s="23">
        <v>45931</v>
      </c>
      <c r="B61" s="24" t="s">
        <v>526</v>
      </c>
      <c r="C61" s="24">
        <v>249.33</v>
      </c>
      <c r="D61" s="63" t="str">
        <f t="shared" si="5"/>
        <v>5.85</v>
      </c>
      <c r="E61" s="8">
        <f t="shared" si="6"/>
        <v>1458</v>
      </c>
    </row>
    <row r="62" spans="1:5">
      <c r="A62" s="23">
        <v>45932</v>
      </c>
      <c r="B62" s="24" t="s">
        <v>525</v>
      </c>
      <c r="C62" s="24">
        <v>277.33</v>
      </c>
      <c r="D62" s="63" t="str">
        <f t="shared" ref="D62:D75" si="7">IF(C62&gt;=200,"5.85",IF(C62&lt;200,"5.95"))</f>
        <v>5.85</v>
      </c>
      <c r="E62" s="8">
        <f t="shared" ref="E62:E75" si="8">INT(C62*D62)</f>
        <v>1622</v>
      </c>
    </row>
    <row r="63" spans="1:5">
      <c r="A63" s="23">
        <v>45932</v>
      </c>
      <c r="B63" s="24" t="s">
        <v>527</v>
      </c>
      <c r="C63" s="24">
        <v>215.6</v>
      </c>
      <c r="D63" s="63" t="str">
        <f t="shared" si="7"/>
        <v>5.85</v>
      </c>
      <c r="E63" s="8">
        <f t="shared" si="8"/>
        <v>1261</v>
      </c>
    </row>
    <row r="64" spans="1:5">
      <c r="A64" s="23">
        <v>45932</v>
      </c>
      <c r="B64" s="24" t="s">
        <v>519</v>
      </c>
      <c r="C64" s="24">
        <v>400</v>
      </c>
      <c r="D64" s="63" t="str">
        <f t="shared" si="7"/>
        <v>5.85</v>
      </c>
      <c r="E64" s="8">
        <f t="shared" si="8"/>
        <v>2340</v>
      </c>
    </row>
    <row r="65" spans="1:5">
      <c r="A65" s="23">
        <v>45932</v>
      </c>
      <c r="B65" s="24" t="s">
        <v>542</v>
      </c>
      <c r="C65" s="24">
        <v>220.58</v>
      </c>
      <c r="D65" s="63" t="str">
        <f t="shared" si="7"/>
        <v>5.85</v>
      </c>
      <c r="E65" s="8">
        <f t="shared" si="8"/>
        <v>1290</v>
      </c>
    </row>
    <row r="66" spans="1:5">
      <c r="A66" s="23">
        <v>45932</v>
      </c>
      <c r="B66" s="24" t="s">
        <v>529</v>
      </c>
      <c r="C66" s="24">
        <v>53.94</v>
      </c>
      <c r="D66" s="63" t="str">
        <f t="shared" si="7"/>
        <v>5.95</v>
      </c>
      <c r="E66" s="8">
        <f t="shared" si="8"/>
        <v>320</v>
      </c>
    </row>
    <row r="67" spans="1:5">
      <c r="A67" s="23">
        <v>45932</v>
      </c>
      <c r="B67" s="24" t="s">
        <v>521</v>
      </c>
      <c r="C67" s="24">
        <v>229.22</v>
      </c>
      <c r="D67" s="63" t="str">
        <f t="shared" si="7"/>
        <v>5.85</v>
      </c>
      <c r="E67" s="8">
        <f t="shared" si="8"/>
        <v>1340</v>
      </c>
    </row>
    <row r="68" spans="1:5">
      <c r="A68" s="23">
        <v>45933</v>
      </c>
      <c r="B68" s="24" t="s">
        <v>521</v>
      </c>
      <c r="C68" s="24">
        <v>143.74</v>
      </c>
      <c r="D68" s="63" t="str">
        <f t="shared" si="7"/>
        <v>5.95</v>
      </c>
      <c r="E68" s="8">
        <f t="shared" si="8"/>
        <v>855</v>
      </c>
    </row>
    <row r="69" spans="1:5">
      <c r="A69" s="23">
        <v>45933</v>
      </c>
      <c r="B69" s="24" t="s">
        <v>518</v>
      </c>
      <c r="C69" s="24">
        <v>90.17</v>
      </c>
      <c r="D69" s="63" t="str">
        <f t="shared" si="7"/>
        <v>5.95</v>
      </c>
      <c r="E69" s="8">
        <f t="shared" si="8"/>
        <v>536</v>
      </c>
    </row>
    <row r="70" spans="1:5">
      <c r="A70" s="23">
        <v>45933</v>
      </c>
      <c r="B70" s="24" t="s">
        <v>529</v>
      </c>
      <c r="C70" s="24">
        <v>42.49</v>
      </c>
      <c r="D70" s="63" t="str">
        <f t="shared" si="7"/>
        <v>5.95</v>
      </c>
      <c r="E70" s="8">
        <f t="shared" si="8"/>
        <v>252</v>
      </c>
    </row>
    <row r="71" spans="1:5">
      <c r="A71" s="23">
        <v>45934</v>
      </c>
      <c r="B71" s="24" t="s">
        <v>521</v>
      </c>
      <c r="C71" s="24">
        <v>199.78</v>
      </c>
      <c r="D71" s="63" t="str">
        <f t="shared" si="7"/>
        <v>5.95</v>
      </c>
      <c r="E71" s="8">
        <f t="shared" si="8"/>
        <v>1188</v>
      </c>
    </row>
    <row r="72" spans="1:5">
      <c r="A72" s="23">
        <v>45934</v>
      </c>
      <c r="B72" s="24" t="s">
        <v>523</v>
      </c>
      <c r="C72" s="24">
        <v>84.85</v>
      </c>
      <c r="D72" s="63" t="str">
        <f t="shared" si="7"/>
        <v>5.95</v>
      </c>
      <c r="E72" s="8">
        <f t="shared" si="8"/>
        <v>504</v>
      </c>
    </row>
    <row r="73" spans="1:5">
      <c r="A73" s="23">
        <v>45934</v>
      </c>
      <c r="B73" s="24" t="s">
        <v>528</v>
      </c>
      <c r="C73" s="24">
        <v>304.87</v>
      </c>
      <c r="D73" s="63" t="str">
        <f t="shared" si="7"/>
        <v>5.85</v>
      </c>
      <c r="E73" s="8">
        <f t="shared" si="8"/>
        <v>1783</v>
      </c>
    </row>
    <row r="74" spans="1:5">
      <c r="A74" s="23">
        <v>45934</v>
      </c>
      <c r="B74" s="24" t="s">
        <v>539</v>
      </c>
      <c r="C74" s="24">
        <v>109.33</v>
      </c>
      <c r="D74" s="63" t="str">
        <f t="shared" si="7"/>
        <v>5.95</v>
      </c>
      <c r="E74" s="8">
        <f t="shared" si="8"/>
        <v>650</v>
      </c>
    </row>
    <row r="75" spans="1:5">
      <c r="A75" s="23">
        <v>45934</v>
      </c>
      <c r="B75" s="24" t="s">
        <v>522</v>
      </c>
      <c r="C75" s="24">
        <v>222</v>
      </c>
      <c r="D75" s="63" t="str">
        <f t="shared" si="7"/>
        <v>5.85</v>
      </c>
      <c r="E75" s="8">
        <f t="shared" si="8"/>
        <v>1298</v>
      </c>
    </row>
    <row r="76" spans="5:5">
      <c r="E76">
        <f>SUM(E62:E75)</f>
        <v>15239</v>
      </c>
    </row>
  </sheetData>
  <mergeCells count="1">
    <mergeCell ref="A3:A9"/>
  </mergeCells>
  <conditionalFormatting sqref="H3:H8">
    <cfRule type="duplicateValues" dxfId="1" priority="1"/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N3" sqref="N3:N9"/>
    </sheetView>
  </sheetViews>
  <sheetFormatPr defaultColWidth="9" defaultRowHeight="14.25"/>
  <cols>
    <col min="1" max="1" width="10.5333333333333" customWidth="1"/>
  </cols>
  <sheetData>
    <row r="1" ht="22.5" spans="1:8">
      <c r="A1" s="37" t="s">
        <v>0</v>
      </c>
      <c r="B1" s="38" t="s">
        <v>543</v>
      </c>
      <c r="C1" s="53"/>
      <c r="D1" s="27"/>
      <c r="E1" s="27" t="s">
        <v>2</v>
      </c>
      <c r="F1" s="54"/>
      <c r="G1" s="43"/>
      <c r="H1" s="43"/>
    </row>
    <row r="2" spans="1:8">
      <c r="A2" s="14"/>
      <c r="B2" s="13"/>
      <c r="C2" s="15"/>
      <c r="D2" s="13"/>
      <c r="E2" s="13"/>
      <c r="F2" s="13"/>
      <c r="G2" s="13"/>
      <c r="H2" s="13"/>
    </row>
    <row r="3" spans="1:14">
      <c r="A3" s="46" t="s">
        <v>3</v>
      </c>
      <c r="B3" s="47" t="s">
        <v>544</v>
      </c>
      <c r="C3" s="55" t="s">
        <v>545</v>
      </c>
      <c r="D3" s="47" t="s">
        <v>546</v>
      </c>
      <c r="E3" s="47" t="s">
        <v>547</v>
      </c>
      <c r="F3" s="47" t="s">
        <v>548</v>
      </c>
      <c r="G3" s="13" t="s">
        <v>549</v>
      </c>
      <c r="H3" s="13" t="s">
        <v>550</v>
      </c>
      <c r="N3" s="47" t="s">
        <v>544</v>
      </c>
    </row>
    <row r="4" spans="1:14">
      <c r="A4" s="46"/>
      <c r="B4" s="47"/>
      <c r="C4" s="55"/>
      <c r="D4" s="47"/>
      <c r="E4" s="47"/>
      <c r="F4" s="47"/>
      <c r="G4" s="13"/>
      <c r="H4" s="13"/>
      <c r="N4" s="55" t="s">
        <v>545</v>
      </c>
    </row>
    <row r="5" spans="1:14">
      <c r="A5" s="46"/>
      <c r="B5" s="47"/>
      <c r="C5" s="55"/>
      <c r="D5" s="47"/>
      <c r="E5" s="47"/>
      <c r="F5" s="47"/>
      <c r="G5" s="13"/>
      <c r="H5" s="13"/>
      <c r="K5" s="56"/>
      <c r="N5" s="47" t="s">
        <v>546</v>
      </c>
    </row>
    <row r="6" spans="1:14">
      <c r="A6" s="46"/>
      <c r="B6" s="47"/>
      <c r="C6" s="55"/>
      <c r="D6" s="48"/>
      <c r="E6" s="47"/>
      <c r="F6" s="48"/>
      <c r="G6" s="13"/>
      <c r="H6" s="13"/>
      <c r="K6" s="57"/>
      <c r="N6" s="47" t="s">
        <v>547</v>
      </c>
    </row>
    <row r="7" spans="1:14">
      <c r="A7" s="46"/>
      <c r="B7" s="47"/>
      <c r="C7" s="55"/>
      <c r="D7" s="47"/>
      <c r="E7" s="47"/>
      <c r="F7" s="47"/>
      <c r="G7" s="13"/>
      <c r="H7" s="13"/>
      <c r="K7" s="56"/>
      <c r="N7" s="47" t="s">
        <v>548</v>
      </c>
    </row>
    <row r="8" spans="1:14">
      <c r="A8" s="46"/>
      <c r="B8" s="48"/>
      <c r="C8" s="55"/>
      <c r="D8" s="48"/>
      <c r="E8" s="47"/>
      <c r="F8" s="47"/>
      <c r="G8" s="13"/>
      <c r="H8" s="13"/>
      <c r="K8" s="56"/>
      <c r="N8" s="13" t="s">
        <v>549</v>
      </c>
    </row>
    <row r="9" spans="1:14">
      <c r="A9" s="46"/>
      <c r="B9" s="47"/>
      <c r="C9" s="55"/>
      <c r="D9" s="47"/>
      <c r="E9" s="35"/>
      <c r="F9" s="35"/>
      <c r="G9" s="13"/>
      <c r="H9" s="13"/>
      <c r="K9" s="56"/>
      <c r="N9" s="13" t="s">
        <v>550</v>
      </c>
    </row>
    <row r="10" spans="1:1">
      <c r="A10" s="31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45923</v>
      </c>
      <c r="B12" s="24" t="s">
        <v>551</v>
      </c>
      <c r="C12" s="24">
        <v>156.63</v>
      </c>
      <c r="D12" s="8">
        <v>5.95</v>
      </c>
      <c r="E12" s="8">
        <f>INT(C12*D12)</f>
        <v>931</v>
      </c>
    </row>
    <row r="13" spans="1:5">
      <c r="A13" s="23">
        <v>45925</v>
      </c>
      <c r="B13" s="24" t="s">
        <v>552</v>
      </c>
      <c r="C13" s="24">
        <v>73.97</v>
      </c>
      <c r="D13" s="8">
        <v>5.95</v>
      </c>
      <c r="E13" s="8">
        <f>INT(C13*D13)</f>
        <v>440</v>
      </c>
    </row>
    <row r="14" spans="1:5">
      <c r="A14" s="23">
        <v>45926</v>
      </c>
      <c r="B14" s="24" t="s">
        <v>553</v>
      </c>
      <c r="C14" s="24">
        <v>215</v>
      </c>
      <c r="D14" s="8">
        <v>5.95</v>
      </c>
      <c r="E14" s="8">
        <f>INT(C14*D14)</f>
        <v>1279</v>
      </c>
    </row>
    <row r="15" spans="1:5">
      <c r="A15" s="23">
        <v>45927</v>
      </c>
      <c r="B15" s="24" t="s">
        <v>554</v>
      </c>
      <c r="C15" s="24">
        <v>171.54</v>
      </c>
      <c r="D15" s="8">
        <v>5.95</v>
      </c>
      <c r="E15" s="8">
        <f>INT(C15*D15)</f>
        <v>1020</v>
      </c>
    </row>
    <row r="16" spans="1:5">
      <c r="A16" s="23">
        <v>45927</v>
      </c>
      <c r="B16" s="24" t="s">
        <v>555</v>
      </c>
      <c r="C16" s="24">
        <v>101.23</v>
      </c>
      <c r="D16" s="8">
        <v>5.95</v>
      </c>
      <c r="E16" s="8">
        <f>INT(C16*D16)</f>
        <v>602</v>
      </c>
    </row>
  </sheetData>
  <mergeCells count="1">
    <mergeCell ref="A3:A9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8" sqref="A18:E18"/>
    </sheetView>
  </sheetViews>
  <sheetFormatPr defaultColWidth="9" defaultRowHeight="14.25"/>
  <cols>
    <col min="1" max="1" width="10.2" customWidth="1"/>
  </cols>
  <sheetData>
    <row r="1" ht="20.25" spans="1:7">
      <c r="A1" s="1" t="s">
        <v>0</v>
      </c>
      <c r="B1" s="25" t="s">
        <v>556</v>
      </c>
      <c r="C1" s="26"/>
      <c r="D1" s="13"/>
      <c r="E1" s="49">
        <v>5.95</v>
      </c>
      <c r="F1" s="6"/>
      <c r="G1" s="7"/>
    </row>
    <row r="2" spans="1:13">
      <c r="A2" s="50" t="s">
        <v>557</v>
      </c>
      <c r="B2" s="5" t="s">
        <v>558</v>
      </c>
      <c r="C2" s="51" t="s">
        <v>559</v>
      </c>
      <c r="D2" s="5" t="s">
        <v>560</v>
      </c>
      <c r="E2" s="5" t="s">
        <v>561</v>
      </c>
      <c r="F2" s="8" t="s">
        <v>562</v>
      </c>
      <c r="M2" s="50" t="s">
        <v>557</v>
      </c>
    </row>
    <row r="3" spans="1:13">
      <c r="A3" s="12"/>
      <c r="B3" s="8"/>
      <c r="C3" s="8"/>
      <c r="D3" s="13"/>
      <c r="E3" s="10"/>
      <c r="F3" s="13"/>
      <c r="G3" s="36"/>
      <c r="M3" s="5" t="s">
        <v>558</v>
      </c>
    </row>
    <row r="4" spans="1:13">
      <c r="A4" s="13"/>
      <c r="B4" s="13"/>
      <c r="C4" s="13"/>
      <c r="D4" s="13"/>
      <c r="E4" s="15"/>
      <c r="F4" s="13"/>
      <c r="G4" s="36"/>
      <c r="M4" s="51" t="s">
        <v>559</v>
      </c>
    </row>
    <row r="5" spans="1:13">
      <c r="A5" s="14"/>
      <c r="B5" s="13"/>
      <c r="C5" s="15"/>
      <c r="D5" s="13"/>
      <c r="E5" s="10"/>
      <c r="F5" s="13"/>
      <c r="G5" s="36"/>
      <c r="M5" s="5" t="s">
        <v>560</v>
      </c>
    </row>
    <row r="6" spans="1:13">
      <c r="A6" s="14"/>
      <c r="B6" s="13"/>
      <c r="C6" s="15"/>
      <c r="D6" s="13"/>
      <c r="E6" s="10"/>
      <c r="F6" s="13"/>
      <c r="G6" s="36"/>
      <c r="M6" s="5" t="s">
        <v>561</v>
      </c>
    </row>
    <row r="7" spans="1:13">
      <c r="A7" s="14"/>
      <c r="B7" s="13"/>
      <c r="C7" s="15"/>
      <c r="D7" s="13"/>
      <c r="E7" s="10"/>
      <c r="F7" s="13"/>
      <c r="G7" s="36"/>
      <c r="M7" s="8" t="s">
        <v>562</v>
      </c>
    </row>
    <row r="8" spans="1:7">
      <c r="A8" s="14"/>
      <c r="B8" s="13"/>
      <c r="C8" s="15"/>
      <c r="D8" s="13"/>
      <c r="E8" s="10"/>
      <c r="F8" s="13"/>
      <c r="G8" s="13"/>
    </row>
    <row r="9" spans="1:7">
      <c r="A9" s="14"/>
      <c r="B9" s="13"/>
      <c r="C9" s="15"/>
      <c r="D9" s="13"/>
      <c r="E9" s="10"/>
      <c r="F9" s="13"/>
      <c r="G9" s="13"/>
    </row>
    <row r="10" spans="1:5">
      <c r="A10" s="31"/>
      <c r="E10" s="52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45923</v>
      </c>
      <c r="B12" s="24" t="s">
        <v>563</v>
      </c>
      <c r="C12" s="24">
        <v>61.29</v>
      </c>
      <c r="D12" s="8">
        <v>5.95</v>
      </c>
      <c r="E12" s="8">
        <f>INT(C12*D12)</f>
        <v>364</v>
      </c>
    </row>
    <row r="13" spans="1:5">
      <c r="A13" s="23">
        <v>45925</v>
      </c>
      <c r="B13" s="24" t="s">
        <v>563</v>
      </c>
      <c r="C13" s="24">
        <v>54.86</v>
      </c>
      <c r="D13" s="8">
        <v>5.95</v>
      </c>
      <c r="E13" s="8">
        <f>INT(C13*D13)</f>
        <v>326</v>
      </c>
    </row>
    <row r="14" spans="1:5">
      <c r="A14" s="23">
        <v>45927</v>
      </c>
      <c r="B14" s="24" t="s">
        <v>563</v>
      </c>
      <c r="C14" s="24">
        <v>55.9</v>
      </c>
      <c r="D14" s="8">
        <v>5.95</v>
      </c>
      <c r="E14" s="8">
        <f>INT(C14*D14)</f>
        <v>332</v>
      </c>
    </row>
    <row r="15" spans="1:5">
      <c r="A15" s="23"/>
      <c r="B15" s="24"/>
      <c r="C15" s="24"/>
      <c r="D15" s="8"/>
      <c r="E15" s="8"/>
    </row>
    <row r="16" spans="1:5">
      <c r="A16" s="23">
        <v>45929</v>
      </c>
      <c r="B16" s="24" t="s">
        <v>563</v>
      </c>
      <c r="C16" s="24">
        <v>52.59</v>
      </c>
      <c r="D16" s="8">
        <v>5.95</v>
      </c>
      <c r="E16" s="8">
        <f>INT(C16*D16)</f>
        <v>312</v>
      </c>
    </row>
    <row r="17" spans="1:5">
      <c r="A17" s="23">
        <v>45931</v>
      </c>
      <c r="B17" s="24" t="s">
        <v>563</v>
      </c>
      <c r="C17" s="24">
        <v>54.65</v>
      </c>
      <c r="D17" s="8">
        <v>5.95</v>
      </c>
      <c r="E17" s="8">
        <f>INT(C17*D17)</f>
        <v>325</v>
      </c>
    </row>
    <row r="18" spans="1:5">
      <c r="A18" s="23">
        <v>45933</v>
      </c>
      <c r="B18" s="24" t="s">
        <v>563</v>
      </c>
      <c r="C18" s="24">
        <v>51.26</v>
      </c>
      <c r="D18" s="8">
        <v>5.95</v>
      </c>
      <c r="E18" s="8">
        <f>INT(C18*D18)</f>
        <v>304</v>
      </c>
    </row>
  </sheetData>
  <mergeCells count="1">
    <mergeCell ref="B1:C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L4" sqref="L4"/>
    </sheetView>
  </sheetViews>
  <sheetFormatPr defaultColWidth="9" defaultRowHeight="14.25"/>
  <sheetData>
    <row r="1" ht="22.5" spans="1:8">
      <c r="A1" s="37" t="s">
        <v>0</v>
      </c>
      <c r="B1" s="38" t="s">
        <v>564</v>
      </c>
      <c r="C1" s="39"/>
      <c r="D1" s="5"/>
      <c r="E1" s="40">
        <v>5.85</v>
      </c>
      <c r="F1" s="41"/>
      <c r="G1" s="42"/>
      <c r="H1" s="43"/>
    </row>
    <row r="2" spans="1:8">
      <c r="A2" s="44"/>
      <c r="B2" s="45"/>
      <c r="C2" s="45"/>
      <c r="D2" s="45"/>
      <c r="E2" s="45"/>
      <c r="F2" s="45"/>
      <c r="G2" s="45"/>
      <c r="H2" s="45"/>
    </row>
    <row r="3" spans="1:8">
      <c r="A3" s="46" t="s">
        <v>3</v>
      </c>
      <c r="B3" s="47" t="s">
        <v>565</v>
      </c>
      <c r="C3" s="47"/>
      <c r="D3" s="47"/>
      <c r="E3" s="47"/>
      <c r="F3" s="47"/>
      <c r="G3" s="45"/>
      <c r="H3" s="45"/>
    </row>
    <row r="4" spans="1:12">
      <c r="A4" s="46"/>
      <c r="B4" s="13"/>
      <c r="C4" s="13"/>
      <c r="D4" s="13"/>
      <c r="E4" s="13"/>
      <c r="F4" s="15"/>
      <c r="G4" s="45"/>
      <c r="H4" s="45"/>
      <c r="L4" s="47" t="s">
        <v>565</v>
      </c>
    </row>
    <row r="5" spans="1:8">
      <c r="A5" s="46"/>
      <c r="C5" s="47"/>
      <c r="D5" s="47"/>
      <c r="E5" s="47"/>
      <c r="F5" s="47"/>
      <c r="G5" s="45"/>
      <c r="H5" s="45"/>
    </row>
    <row r="6" spans="1:8">
      <c r="A6" s="46"/>
      <c r="B6" s="47"/>
      <c r="C6" s="47"/>
      <c r="D6" s="48"/>
      <c r="E6" s="47"/>
      <c r="F6" s="48"/>
      <c r="G6" s="45"/>
      <c r="H6" s="45"/>
    </row>
    <row r="7" spans="1:8">
      <c r="A7" s="46"/>
      <c r="B7" s="47"/>
      <c r="C7" s="47"/>
      <c r="D7" s="47"/>
      <c r="E7" s="47"/>
      <c r="F7" s="47"/>
      <c r="G7" s="45"/>
      <c r="H7" s="45"/>
    </row>
    <row r="8" spans="1:8">
      <c r="A8" s="46"/>
      <c r="B8" s="48"/>
      <c r="C8" s="47"/>
      <c r="D8" s="48"/>
      <c r="E8" s="47"/>
      <c r="F8" s="47"/>
      <c r="G8" s="45"/>
      <c r="H8" s="45"/>
    </row>
    <row r="9" spans="1:8">
      <c r="A9" s="46"/>
      <c r="B9" s="47"/>
      <c r="C9" s="47"/>
      <c r="D9" s="47"/>
      <c r="E9" s="35"/>
      <c r="F9" s="35"/>
      <c r="G9" s="45"/>
      <c r="H9" s="45"/>
    </row>
    <row r="10" spans="1:8">
      <c r="A10" s="44"/>
      <c r="B10" s="45"/>
      <c r="C10" s="45"/>
      <c r="D10" s="45"/>
      <c r="E10" s="45"/>
      <c r="F10" s="45"/>
      <c r="G10" s="45"/>
      <c r="H10" s="45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</sheetData>
  <mergeCells count="1">
    <mergeCell ref="A3:A9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M3" sqref="M3:M8"/>
    </sheetView>
  </sheetViews>
  <sheetFormatPr defaultColWidth="9" defaultRowHeight="14.25"/>
  <sheetData>
    <row r="1" ht="20.25" spans="1:7">
      <c r="A1" s="1" t="s">
        <v>0</v>
      </c>
      <c r="B1" s="25" t="s">
        <v>566</v>
      </c>
      <c r="C1" s="26"/>
      <c r="D1" s="13"/>
      <c r="E1" s="5"/>
      <c r="F1" s="27" t="s">
        <v>567</v>
      </c>
      <c r="G1" s="7"/>
    </row>
    <row r="2" spans="1:6">
      <c r="A2" s="32" t="s">
        <v>568</v>
      </c>
      <c r="B2" s="33" t="s">
        <v>569</v>
      </c>
      <c r="C2" s="34" t="s">
        <v>570</v>
      </c>
      <c r="D2" s="34" t="s">
        <v>571</v>
      </c>
      <c r="E2" s="34" t="s">
        <v>572</v>
      </c>
      <c r="F2" s="8"/>
    </row>
    <row r="3" spans="1:13">
      <c r="A3" s="35" t="s">
        <v>573</v>
      </c>
      <c r="B3" s="8"/>
      <c r="C3" s="8"/>
      <c r="D3" s="28"/>
      <c r="E3" s="13"/>
      <c r="F3" s="13"/>
      <c r="G3" s="36"/>
      <c r="M3" s="32" t="s">
        <v>568</v>
      </c>
    </row>
    <row r="4" spans="1:13">
      <c r="A4" s="8"/>
      <c r="B4" s="8"/>
      <c r="C4" s="8"/>
      <c r="D4" s="28"/>
      <c r="E4" s="30"/>
      <c r="F4" s="13"/>
      <c r="G4" s="36"/>
      <c r="M4" s="33" t="s">
        <v>569</v>
      </c>
    </row>
    <row r="5" spans="1:13">
      <c r="A5" s="8"/>
      <c r="B5" s="8"/>
      <c r="C5" s="8"/>
      <c r="D5" s="13"/>
      <c r="E5" s="13"/>
      <c r="F5" s="13"/>
      <c r="G5" s="36"/>
      <c r="M5" s="34" t="s">
        <v>570</v>
      </c>
    </row>
    <row r="6" spans="1:13">
      <c r="A6" s="14"/>
      <c r="B6" s="13"/>
      <c r="C6" s="15"/>
      <c r="D6" s="13"/>
      <c r="E6" s="13"/>
      <c r="F6" s="13"/>
      <c r="G6" s="36"/>
      <c r="M6" s="34" t="s">
        <v>571</v>
      </c>
    </row>
    <row r="7" spans="1:13">
      <c r="A7" s="14"/>
      <c r="B7" s="13"/>
      <c r="C7" s="15"/>
      <c r="D7" s="13"/>
      <c r="E7" s="13"/>
      <c r="F7" s="13"/>
      <c r="G7" s="36"/>
      <c r="M7" s="34" t="s">
        <v>572</v>
      </c>
    </row>
    <row r="8" spans="1:13">
      <c r="A8" s="14"/>
      <c r="B8" s="13"/>
      <c r="C8" s="15"/>
      <c r="D8" s="13"/>
      <c r="E8" s="13"/>
      <c r="F8" s="13"/>
      <c r="G8" s="13"/>
      <c r="M8" s="35" t="s">
        <v>573</v>
      </c>
    </row>
    <row r="9" spans="1:7">
      <c r="A9" s="14"/>
      <c r="B9" s="13"/>
      <c r="C9" s="15"/>
      <c r="D9" s="13"/>
      <c r="E9" s="13"/>
      <c r="F9" s="13"/>
      <c r="G9" s="13"/>
    </row>
    <row r="10" spans="1:1">
      <c r="A10" s="31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</sheetData>
  <mergeCells count="1">
    <mergeCell ref="B1:C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D25" sqref="D25:E25"/>
    </sheetView>
  </sheetViews>
  <sheetFormatPr defaultColWidth="9" defaultRowHeight="14.25"/>
  <cols>
    <col min="1" max="1" width="11" customWidth="1"/>
  </cols>
  <sheetData>
    <row r="1" ht="20.25" spans="1:13">
      <c r="A1" s="1" t="s">
        <v>0</v>
      </c>
      <c r="B1" s="25" t="s">
        <v>574</v>
      </c>
      <c r="C1" s="26"/>
      <c r="D1" s="13"/>
      <c r="E1" s="5"/>
      <c r="F1" s="27" t="s">
        <v>567</v>
      </c>
      <c r="G1" s="7"/>
      <c r="M1" t="str" cm="1">
        <f t="array" ref="M1:M18">_xlfn.TOCOL(A2:F4)</f>
        <v>粤D11292</v>
      </c>
    </row>
    <row r="2" spans="1:13">
      <c r="A2" s="21" t="s">
        <v>575</v>
      </c>
      <c r="B2" s="10" t="s">
        <v>576</v>
      </c>
      <c r="C2" s="22" t="s">
        <v>577</v>
      </c>
      <c r="D2" s="10" t="s">
        <v>578</v>
      </c>
      <c r="E2" s="10" t="s">
        <v>579</v>
      </c>
      <c r="F2" s="11" t="s">
        <v>580</v>
      </c>
      <c r="M2" t="str">
        <v>赣CCL432</v>
      </c>
    </row>
    <row r="3" spans="1:13">
      <c r="A3" s="8" t="s">
        <v>581</v>
      </c>
      <c r="B3" s="13" t="s">
        <v>582</v>
      </c>
      <c r="C3" s="13" t="s">
        <v>583</v>
      </c>
      <c r="D3" s="28" t="s">
        <v>584</v>
      </c>
      <c r="E3" s="13" t="s">
        <v>585</v>
      </c>
      <c r="F3" s="13"/>
      <c r="G3" s="13"/>
      <c r="M3" t="str">
        <v>粤V5797挂</v>
      </c>
    </row>
    <row r="4" spans="1:13">
      <c r="A4" s="29" t="s">
        <v>586</v>
      </c>
      <c r="B4" s="13" t="s">
        <v>587</v>
      </c>
      <c r="C4" s="30"/>
      <c r="D4" s="28"/>
      <c r="E4" s="30"/>
      <c r="F4" s="13"/>
      <c r="G4" s="13"/>
      <c r="M4" t="str">
        <v>粤MU9803</v>
      </c>
    </row>
    <row r="5" spans="1:13">
      <c r="A5" s="14"/>
      <c r="B5" s="13"/>
      <c r="C5" s="15"/>
      <c r="D5" s="13"/>
      <c r="E5" s="13"/>
      <c r="F5" s="13"/>
      <c r="G5" s="13"/>
      <c r="M5" t="str">
        <v>粤MW0238</v>
      </c>
    </row>
    <row r="6" spans="1:13">
      <c r="A6" s="14"/>
      <c r="B6" s="13"/>
      <c r="C6" s="15"/>
      <c r="D6" s="13"/>
      <c r="E6" s="13"/>
      <c r="F6" s="13"/>
      <c r="G6" s="13"/>
      <c r="M6" t="str">
        <v>粤M35329</v>
      </c>
    </row>
    <row r="7" spans="1:13">
      <c r="A7" s="14"/>
      <c r="B7" s="13"/>
      <c r="C7" s="15"/>
      <c r="D7" s="13"/>
      <c r="E7" s="13"/>
      <c r="F7" s="13"/>
      <c r="G7" s="13"/>
      <c r="M7" t="str">
        <v>粤VW1689</v>
      </c>
    </row>
    <row r="8" spans="1:13">
      <c r="A8" s="14"/>
      <c r="B8" s="13"/>
      <c r="C8" s="15"/>
      <c r="D8" s="13"/>
      <c r="E8" s="13"/>
      <c r="F8" s="13"/>
      <c r="G8" s="13"/>
      <c r="M8" t="str">
        <v>赣K89533</v>
      </c>
    </row>
    <row r="9" spans="1:13">
      <c r="A9" s="14"/>
      <c r="B9" s="13"/>
      <c r="C9" s="15"/>
      <c r="D9" s="13"/>
      <c r="E9" s="13"/>
      <c r="F9" s="13"/>
      <c r="G9" s="13"/>
      <c r="M9" t="str">
        <v>粤VR3995</v>
      </c>
    </row>
    <row r="10" spans="1:13">
      <c r="A10" s="31"/>
      <c r="M10" t="str">
        <v>粤U51320</v>
      </c>
    </row>
    <row r="11" spans="1:13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  <c r="M11" t="str">
        <v>粤VF6995</v>
      </c>
    </row>
    <row r="12" spans="1:13">
      <c r="A12" s="23">
        <v>45923</v>
      </c>
      <c r="B12" s="24" t="s">
        <v>588</v>
      </c>
      <c r="C12" s="24">
        <v>113.12</v>
      </c>
      <c r="D12" s="19" t="str">
        <f>IF(C12&gt;=200,"5.7",IF(C12&lt;200,"5.85"))</f>
        <v>5.85</v>
      </c>
      <c r="E12" s="8">
        <f t="shared" ref="E12:E17" si="0">INT(C12*D12)</f>
        <v>661</v>
      </c>
      <c r="M12">
        <v>0</v>
      </c>
    </row>
    <row r="13" spans="1:13">
      <c r="A13" s="23">
        <v>45923</v>
      </c>
      <c r="B13" s="24" t="s">
        <v>589</v>
      </c>
      <c r="C13" s="24">
        <v>345</v>
      </c>
      <c r="D13" s="19" t="str">
        <f>IF(C13&gt;=200,"5.7",IF(C13&lt;200,"5.85"))</f>
        <v>5.7</v>
      </c>
      <c r="E13" s="8">
        <f t="shared" si="0"/>
        <v>1966</v>
      </c>
      <c r="M13" t="str">
        <v>粤V93E12</v>
      </c>
    </row>
    <row r="14" spans="1:13">
      <c r="A14" s="23">
        <v>45924</v>
      </c>
      <c r="B14" s="24" t="s">
        <v>590</v>
      </c>
      <c r="C14" s="24">
        <v>1030</v>
      </c>
      <c r="D14" s="19" t="str">
        <f>IF(C14&gt;=200,"5.7",IF(C14&lt;200,"5.85"))</f>
        <v>5.7</v>
      </c>
      <c r="E14" s="8">
        <f t="shared" si="0"/>
        <v>5871</v>
      </c>
      <c r="M14" t="str">
        <v>粤VCN561</v>
      </c>
    </row>
    <row r="15" spans="1:13">
      <c r="A15" s="23">
        <v>45927</v>
      </c>
      <c r="B15" s="24" t="s">
        <v>589</v>
      </c>
      <c r="C15" s="24">
        <v>185</v>
      </c>
      <c r="D15" s="19" t="str">
        <f>IF(C15&gt;=200,"5.7",IF(C15&lt;200,"5.85"))</f>
        <v>5.85</v>
      </c>
      <c r="E15" s="8">
        <f t="shared" si="0"/>
        <v>1082</v>
      </c>
      <c r="M15">
        <v>0</v>
      </c>
    </row>
    <row r="16" spans="1:13">
      <c r="A16" s="23">
        <v>45928</v>
      </c>
      <c r="B16" s="24" t="s">
        <v>588</v>
      </c>
      <c r="C16" s="24">
        <v>112.23</v>
      </c>
      <c r="D16" s="19" t="str">
        <f>IF(C16&gt;=200,"5.8",IF(C16&lt;200,"5.85"))</f>
        <v>5.85</v>
      </c>
      <c r="E16" s="8">
        <f t="shared" si="0"/>
        <v>656</v>
      </c>
      <c r="M16">
        <v>0</v>
      </c>
    </row>
    <row r="17" spans="1:13">
      <c r="A17" s="23">
        <v>45928</v>
      </c>
      <c r="B17" s="24" t="s">
        <v>589</v>
      </c>
      <c r="C17" s="24">
        <v>223.49</v>
      </c>
      <c r="D17" s="19" t="str">
        <f>IF(C17&gt;=200,"5.8",IF(C17&lt;200,"5.85"))</f>
        <v>5.8</v>
      </c>
      <c r="E17" s="8">
        <f t="shared" si="0"/>
        <v>1296</v>
      </c>
      <c r="M17">
        <v>0</v>
      </c>
    </row>
    <row r="18" spans="1:13">
      <c r="A18" s="23"/>
      <c r="B18" s="24"/>
      <c r="C18" s="24"/>
      <c r="D18" s="19"/>
      <c r="E18" s="8"/>
      <c r="M18">
        <v>0</v>
      </c>
    </row>
    <row r="19" spans="1:5">
      <c r="A19" s="23">
        <v>45929</v>
      </c>
      <c r="B19" s="24" t="s">
        <v>588</v>
      </c>
      <c r="C19" s="24">
        <v>113.44</v>
      </c>
      <c r="D19" s="19" t="str">
        <f t="shared" ref="D19:D24" si="1">IF(C19&gt;=200,"5.8",IF(C19&lt;200,"5.85"))</f>
        <v>5.85</v>
      </c>
      <c r="E19" s="8">
        <f t="shared" ref="E19:E24" si="2">INT(C19*D19)</f>
        <v>663</v>
      </c>
    </row>
    <row r="20" spans="1:5">
      <c r="A20" s="23">
        <v>45930</v>
      </c>
      <c r="B20" s="24" t="s">
        <v>588</v>
      </c>
      <c r="C20" s="24">
        <v>302.16</v>
      </c>
      <c r="D20" s="19" t="str">
        <f t="shared" si="1"/>
        <v>5.8</v>
      </c>
      <c r="E20" s="8">
        <f t="shared" si="2"/>
        <v>1752</v>
      </c>
    </row>
    <row r="21" spans="1:5">
      <c r="A21" s="23">
        <v>45930</v>
      </c>
      <c r="B21" s="24" t="s">
        <v>589</v>
      </c>
      <c r="C21" s="24">
        <v>99.3</v>
      </c>
      <c r="D21" s="19" t="str">
        <f t="shared" si="1"/>
        <v>5.85</v>
      </c>
      <c r="E21" s="8">
        <f t="shared" si="2"/>
        <v>580</v>
      </c>
    </row>
    <row r="22" spans="1:5">
      <c r="A22" s="23">
        <v>45930</v>
      </c>
      <c r="B22" s="24" t="s">
        <v>588</v>
      </c>
      <c r="C22" s="24">
        <v>440</v>
      </c>
      <c r="D22" s="19" t="str">
        <f t="shared" si="1"/>
        <v>5.8</v>
      </c>
      <c r="E22" s="8">
        <f t="shared" si="2"/>
        <v>2552</v>
      </c>
    </row>
    <row r="23" spans="1:5">
      <c r="A23" s="23">
        <v>45931</v>
      </c>
      <c r="B23" s="24" t="s">
        <v>589</v>
      </c>
      <c r="C23" s="24">
        <v>115</v>
      </c>
      <c r="D23" s="19" t="str">
        <f t="shared" si="1"/>
        <v>5.85</v>
      </c>
      <c r="E23" s="8">
        <f t="shared" si="2"/>
        <v>672</v>
      </c>
    </row>
    <row r="24" spans="1:5">
      <c r="A24" s="23">
        <v>45931</v>
      </c>
      <c r="B24" s="24" t="s">
        <v>588</v>
      </c>
      <c r="C24" s="24">
        <v>200.02</v>
      </c>
      <c r="D24" s="19" t="str">
        <f t="shared" si="1"/>
        <v>5.8</v>
      </c>
      <c r="E24" s="8">
        <f t="shared" si="2"/>
        <v>1160</v>
      </c>
    </row>
    <row r="25" spans="4:5">
      <c r="D25" s="19"/>
      <c r="E25" s="8"/>
    </row>
    <row r="26" spans="1:5">
      <c r="A26" s="23">
        <v>45932</v>
      </c>
      <c r="B26" s="24" t="s">
        <v>588</v>
      </c>
      <c r="C26" s="24">
        <v>134.54</v>
      </c>
      <c r="D26" s="19" t="str">
        <f>IF(C26&gt;=200,"5.8",IF(C26&lt;200,"5.85"))</f>
        <v>5.85</v>
      </c>
      <c r="E26" s="8">
        <f>INT(C26*D26)</f>
        <v>787</v>
      </c>
    </row>
    <row r="27" spans="1:5">
      <c r="A27" s="23">
        <v>45932</v>
      </c>
      <c r="B27" s="24" t="s">
        <v>588</v>
      </c>
      <c r="C27" s="24">
        <v>200.81</v>
      </c>
      <c r="D27" s="19" t="str">
        <f>IF(C27&gt;=200,"5.8",IF(C27&lt;200,"5.85"))</f>
        <v>5.8</v>
      </c>
      <c r="E27" s="8">
        <f>INT(C27*D27)</f>
        <v>1164</v>
      </c>
    </row>
    <row r="28" spans="1:5">
      <c r="A28" s="23">
        <v>45934</v>
      </c>
      <c r="B28" s="24" t="s">
        <v>588</v>
      </c>
      <c r="C28" s="24">
        <v>227.19</v>
      </c>
      <c r="D28" s="19" t="str">
        <f>IF(C28&gt;=200,"5.8",IF(C28&lt;200,"5.85"))</f>
        <v>5.8</v>
      </c>
      <c r="E28" s="8">
        <f>INT(C28*D28)</f>
        <v>1317</v>
      </c>
    </row>
  </sheetData>
  <mergeCells count="1">
    <mergeCell ref="B1:C1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1" sqref="L1:L8"/>
    </sheetView>
  </sheetViews>
  <sheetFormatPr defaultColWidth="9" defaultRowHeight="14.25"/>
  <cols>
    <col min="1" max="1" width="9.4" customWidth="1"/>
  </cols>
  <sheetData>
    <row r="1" ht="20.25" spans="1:12">
      <c r="A1" s="1" t="s">
        <v>0</v>
      </c>
      <c r="B1" s="2" t="s">
        <v>591</v>
      </c>
      <c r="C1" s="3"/>
      <c r="D1" s="4"/>
      <c r="E1" s="5"/>
      <c r="F1" s="6">
        <v>5.85</v>
      </c>
      <c r="G1" s="7"/>
      <c r="L1" s="21" t="s">
        <v>592</v>
      </c>
    </row>
    <row r="2" spans="1:12">
      <c r="A2" s="21" t="s">
        <v>592</v>
      </c>
      <c r="B2" s="22" t="s">
        <v>593</v>
      </c>
      <c r="C2" s="10" t="s">
        <v>594</v>
      </c>
      <c r="D2" s="10" t="s">
        <v>595</v>
      </c>
      <c r="E2" t="s">
        <v>596</v>
      </c>
      <c r="F2" s="8" t="s">
        <v>597</v>
      </c>
      <c r="G2" s="8" t="s">
        <v>598</v>
      </c>
      <c r="L2" s="22" t="s">
        <v>593</v>
      </c>
    </row>
    <row r="3" spans="1:12">
      <c r="A3" s="12" t="s">
        <v>599</v>
      </c>
      <c r="B3" s="8"/>
      <c r="C3" s="8"/>
      <c r="D3" s="13"/>
      <c r="F3" s="13"/>
      <c r="G3" s="13"/>
      <c r="L3" s="10" t="s">
        <v>594</v>
      </c>
    </row>
    <row r="4" spans="1:12">
      <c r="A4" s="14"/>
      <c r="B4" s="13"/>
      <c r="C4" s="15"/>
      <c r="D4" s="13"/>
      <c r="E4" s="13"/>
      <c r="F4" s="13"/>
      <c r="G4" s="13"/>
      <c r="L4" s="10" t="s">
        <v>595</v>
      </c>
    </row>
    <row r="5" spans="1:12">
      <c r="A5" s="14"/>
      <c r="B5" s="13"/>
      <c r="C5" s="15"/>
      <c r="D5" s="13"/>
      <c r="E5" s="13"/>
      <c r="F5" s="13"/>
      <c r="G5" s="13"/>
      <c r="L5" t="s">
        <v>596</v>
      </c>
    </row>
    <row r="6" spans="1:12">
      <c r="A6" s="14"/>
      <c r="B6" s="13"/>
      <c r="C6" s="15"/>
      <c r="D6" s="13"/>
      <c r="E6" s="13"/>
      <c r="F6" s="13"/>
      <c r="G6" s="13"/>
      <c r="L6" s="8" t="s">
        <v>597</v>
      </c>
    </row>
    <row r="7" spans="1:12">
      <c r="A7" s="14"/>
      <c r="B7" s="13"/>
      <c r="C7" s="15"/>
      <c r="D7" s="13"/>
      <c r="E7" s="13"/>
      <c r="F7" s="13"/>
      <c r="G7" s="13"/>
      <c r="L7" s="8" t="s">
        <v>598</v>
      </c>
    </row>
    <row r="8" spans="1:12">
      <c r="A8" s="14"/>
      <c r="B8" s="13"/>
      <c r="C8" s="15"/>
      <c r="D8" s="13"/>
      <c r="E8" s="13"/>
      <c r="F8" s="13"/>
      <c r="G8" s="13"/>
      <c r="L8" s="12" t="s">
        <v>599</v>
      </c>
    </row>
    <row r="9" spans="1:7">
      <c r="A9" s="14"/>
      <c r="B9" s="13"/>
      <c r="C9" s="15"/>
      <c r="D9" s="13"/>
      <c r="E9" s="13"/>
      <c r="F9" s="13"/>
      <c r="G9" s="13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1:5">
      <c r="A12" s="23">
        <v>45925</v>
      </c>
      <c r="B12" s="24" t="s">
        <v>600</v>
      </c>
      <c r="C12" s="24">
        <v>400</v>
      </c>
      <c r="D12" s="19" t="str">
        <f t="shared" ref="D12" si="0">IF(C12&gt;=200,"5.75",IF(C12&lt;200,"5.95"))</f>
        <v>5.75</v>
      </c>
      <c r="E12" s="8">
        <f t="shared" ref="E12" si="1">INT(C12*D12)</f>
        <v>2300</v>
      </c>
    </row>
  </sheetData>
  <mergeCells count="1">
    <mergeCell ref="B1:D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K1" sqref="K1:K7"/>
    </sheetView>
  </sheetViews>
  <sheetFormatPr defaultColWidth="9" defaultRowHeight="14.25"/>
  <sheetData>
    <row r="1" ht="20.25" spans="1:11">
      <c r="A1" s="1" t="s">
        <v>0</v>
      </c>
      <c r="B1" s="2" t="s">
        <v>601</v>
      </c>
      <c r="C1" s="3"/>
      <c r="D1" s="4"/>
      <c r="E1" s="5"/>
      <c r="F1" s="6">
        <v>5.85</v>
      </c>
      <c r="G1" s="7"/>
      <c r="K1" s="21" t="s">
        <v>602</v>
      </c>
    </row>
    <row r="2" spans="1:11">
      <c r="A2" s="21" t="s">
        <v>602</v>
      </c>
      <c r="B2" s="10"/>
      <c r="C2" s="10" t="s">
        <v>603</v>
      </c>
      <c r="D2" s="10" t="s">
        <v>604</v>
      </c>
      <c r="E2" s="8" t="s">
        <v>605</v>
      </c>
      <c r="F2" s="11" t="s">
        <v>606</v>
      </c>
      <c r="G2" s="8" t="s">
        <v>607</v>
      </c>
      <c r="K2" s="10"/>
    </row>
    <row r="3" spans="1:11">
      <c r="A3" s="12"/>
      <c r="B3" s="8"/>
      <c r="C3" s="8"/>
      <c r="D3" s="13"/>
      <c r="E3" s="13"/>
      <c r="F3" s="13"/>
      <c r="G3" s="13"/>
      <c r="K3" s="10" t="s">
        <v>603</v>
      </c>
    </row>
    <row r="4" spans="1:11">
      <c r="A4" s="14"/>
      <c r="B4" s="13"/>
      <c r="C4" s="15"/>
      <c r="D4" s="13"/>
      <c r="E4" s="13"/>
      <c r="F4" s="13"/>
      <c r="G4" s="13"/>
      <c r="K4" s="10" t="s">
        <v>604</v>
      </c>
    </row>
    <row r="5" spans="1:11">
      <c r="A5" s="14"/>
      <c r="B5" s="13"/>
      <c r="C5" s="15"/>
      <c r="D5" s="13"/>
      <c r="E5" s="13"/>
      <c r="F5" s="13"/>
      <c r="G5" s="13"/>
      <c r="K5" s="8" t="s">
        <v>605</v>
      </c>
    </row>
    <row r="6" spans="1:11">
      <c r="A6" s="14"/>
      <c r="B6" s="13"/>
      <c r="C6" s="15"/>
      <c r="D6" s="13"/>
      <c r="E6" s="13"/>
      <c r="F6" s="13"/>
      <c r="G6" s="13"/>
      <c r="K6" s="11" t="s">
        <v>606</v>
      </c>
    </row>
    <row r="7" spans="1:11">
      <c r="A7" s="14"/>
      <c r="B7" s="13"/>
      <c r="C7" s="15"/>
      <c r="D7" s="13"/>
      <c r="E7" s="13"/>
      <c r="F7" s="13"/>
      <c r="G7" s="13"/>
      <c r="K7" s="8" t="s">
        <v>607</v>
      </c>
    </row>
    <row r="8" spans="1:7">
      <c r="A8" s="14"/>
      <c r="B8" s="13"/>
      <c r="C8" s="15"/>
      <c r="D8" s="13"/>
      <c r="E8" s="13"/>
      <c r="F8" s="13"/>
      <c r="G8" s="13"/>
    </row>
    <row r="9" spans="1:7">
      <c r="A9" s="14"/>
      <c r="B9" s="13"/>
      <c r="C9" s="15"/>
      <c r="D9" s="13"/>
      <c r="E9" s="13"/>
      <c r="F9" s="13"/>
      <c r="G9" s="13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4:5">
      <c r="D12" s="19" t="str">
        <f t="shared" ref="D12" si="0">IF(C12&gt;=200,"5.75",IF(C12&lt;200,"5.95"))</f>
        <v>5.95</v>
      </c>
      <c r="E12" s="8">
        <f t="shared" ref="E12" si="1">INT(C12*D12)</f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4" sqref="L4:L6"/>
    </sheetView>
  </sheetViews>
  <sheetFormatPr defaultColWidth="9" defaultRowHeight="14.25"/>
  <sheetData>
    <row r="1" ht="20.25" spans="1:7">
      <c r="A1" s="1" t="s">
        <v>0</v>
      </c>
      <c r="B1" s="2" t="s">
        <v>608</v>
      </c>
      <c r="C1" s="3"/>
      <c r="D1" s="4"/>
      <c r="E1" s="5"/>
      <c r="F1" s="6">
        <v>5.85</v>
      </c>
      <c r="G1" s="7"/>
    </row>
    <row r="2" spans="1:7">
      <c r="A2" s="8" t="s">
        <v>609</v>
      </c>
      <c r="B2" s="8" t="s">
        <v>610</v>
      </c>
      <c r="C2" s="9" t="s">
        <v>611</v>
      </c>
      <c r="D2" s="10"/>
      <c r="E2" s="8"/>
      <c r="F2" s="11"/>
      <c r="G2" s="8"/>
    </row>
    <row r="3" spans="1:7">
      <c r="A3" s="12"/>
      <c r="B3" s="8"/>
      <c r="C3" s="8"/>
      <c r="D3" s="13"/>
      <c r="E3" s="13"/>
      <c r="F3" s="13"/>
      <c r="G3" s="13"/>
    </row>
    <row r="4" spans="1:12">
      <c r="A4" s="14"/>
      <c r="B4" s="13"/>
      <c r="C4" s="15"/>
      <c r="D4" s="13"/>
      <c r="E4" s="13"/>
      <c r="F4" s="13"/>
      <c r="G4" s="13"/>
      <c r="L4" t="s">
        <v>609</v>
      </c>
    </row>
    <row r="5" spans="1:12">
      <c r="A5" s="14"/>
      <c r="B5" s="13"/>
      <c r="C5" s="15"/>
      <c r="D5" s="13"/>
      <c r="E5" s="13"/>
      <c r="F5" s="13"/>
      <c r="G5" s="13"/>
      <c r="L5" t="s">
        <v>610</v>
      </c>
    </row>
    <row r="6" spans="1:12">
      <c r="A6" s="14"/>
      <c r="B6" s="13"/>
      <c r="C6" s="15"/>
      <c r="D6" s="13"/>
      <c r="E6" s="13"/>
      <c r="F6" s="13"/>
      <c r="G6" s="13"/>
      <c r="L6" s="20" t="s">
        <v>611</v>
      </c>
    </row>
    <row r="7" spans="1:7">
      <c r="A7" s="14"/>
      <c r="B7" s="13"/>
      <c r="C7" s="15"/>
      <c r="D7" s="13"/>
      <c r="E7" s="13"/>
      <c r="F7" s="13"/>
      <c r="G7" s="13"/>
    </row>
    <row r="8" spans="1:7">
      <c r="A8" s="14"/>
      <c r="B8" s="13"/>
      <c r="C8" s="15"/>
      <c r="D8" s="13"/>
      <c r="E8" s="13"/>
      <c r="F8" s="13"/>
      <c r="G8" s="13"/>
    </row>
    <row r="9" spans="1:7">
      <c r="A9" s="14"/>
      <c r="B9" s="13"/>
      <c r="C9" s="15"/>
      <c r="D9" s="13"/>
      <c r="E9" s="13"/>
      <c r="F9" s="13"/>
      <c r="G9" s="13"/>
    </row>
    <row r="11" spans="1:8">
      <c r="A11" s="16" t="s">
        <v>36</v>
      </c>
      <c r="B11" s="17" t="s">
        <v>37</v>
      </c>
      <c r="C11" s="18" t="s">
        <v>38</v>
      </c>
      <c r="D11" s="17" t="s">
        <v>39</v>
      </c>
      <c r="E11" s="17" t="s">
        <v>40</v>
      </c>
      <c r="F11" s="17" t="s">
        <v>41</v>
      </c>
      <c r="G11" s="17" t="s">
        <v>41</v>
      </c>
      <c r="H11" s="17" t="s">
        <v>41</v>
      </c>
    </row>
    <row r="12" spans="4:5">
      <c r="D12" s="19" t="str">
        <f t="shared" ref="D12" si="0">IF(C12&gt;=200,"5.75",IF(C12&lt;200,"5.95"))</f>
        <v>5.95</v>
      </c>
      <c r="E12" s="8">
        <f t="shared" ref="E12" si="1">INT(C12*D12)</f>
        <v>0</v>
      </c>
    </row>
  </sheetData>
  <mergeCells count="1">
    <mergeCell ref="B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雄宇</vt:lpstr>
      <vt:lpstr>丹娜</vt:lpstr>
      <vt:lpstr>锐忠散户</vt:lpstr>
      <vt:lpstr>红忠</vt:lpstr>
      <vt:lpstr>锐忠</vt:lpstr>
      <vt:lpstr>标胜</vt:lpstr>
      <vt:lpstr>灿林</vt:lpstr>
      <vt:lpstr>葫芦</vt:lpstr>
      <vt:lpstr>广大</vt:lpstr>
      <vt:lpstr>燕姐</vt:lpstr>
      <vt:lpstr>杰兄</vt:lpstr>
      <vt:lpstr>普宁中通</vt:lpstr>
      <vt:lpstr>伟彦</vt:lpstr>
      <vt:lpstr>阳江</vt:lpstr>
      <vt:lpstr>陈洁治</vt:lpstr>
      <vt:lpstr>玉亮散户</vt:lpstr>
      <vt:lpstr>快递兄弟</vt:lpstr>
      <vt:lpstr>顺达</vt:lpstr>
      <vt:lpstr>顺达老同</vt:lpstr>
      <vt:lpstr>德邦</vt:lpstr>
      <vt:lpstr>万家</vt:lpstr>
      <vt:lpstr>地都土</vt:lpstr>
      <vt:lpstr>陈店土</vt:lpstr>
      <vt:lpstr>云路土</vt:lpstr>
      <vt:lpstr>泥浆</vt:lpstr>
      <vt:lpstr>吊车大巴</vt:lpstr>
      <vt:lpstr>海大</vt:lpstr>
      <vt:lpstr>玉浦</vt:lpstr>
      <vt:lpstr>宾驰</vt:lpstr>
      <vt:lpstr>地都</vt:lpstr>
      <vt:lpstr>仙桥</vt:lpstr>
      <vt:lpstr>生隆</vt:lpstr>
      <vt:lpstr>陈店</vt:lpstr>
      <vt:lpstr>潮州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微型电机</cp:lastModifiedBy>
  <dcterms:created xsi:type="dcterms:W3CDTF">2015-06-05T18:19:00Z</dcterms:created>
  <dcterms:modified xsi:type="dcterms:W3CDTF">2025-10-05T09:14:14Z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151DEC4B833F41FDA1598791266AD772_12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