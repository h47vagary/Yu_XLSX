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36" activeTab="2"/>
  </bookViews>
  <sheets>
    <sheet name="雄宇" sheetId="1" r:id="rId1"/>
    <sheet name="丹娜" sheetId="2" r:id="rId2"/>
    <sheet name="锐忠散户" sheetId="3" r:id="rId3"/>
    <sheet name="红忠" sheetId="4" r:id="rId4"/>
    <sheet name="锐忠" sheetId="5" r:id="rId5"/>
    <sheet name="标胜" sheetId="6" r:id="rId6"/>
    <sheet name="灿林" sheetId="7" r:id="rId7"/>
    <sheet name="葫芦" sheetId="8" r:id="rId8"/>
    <sheet name="广大" sheetId="9" r:id="rId9"/>
    <sheet name="燕姐" sheetId="10" r:id="rId10"/>
    <sheet name="杰兄" sheetId="11" r:id="rId11"/>
    <sheet name="普宁中通" sheetId="12" r:id="rId12"/>
    <sheet name="伟彦" sheetId="13" r:id="rId13"/>
    <sheet name="阳江" sheetId="14" r:id="rId14"/>
    <sheet name="陈洁治" sheetId="15" r:id="rId15"/>
    <sheet name="玉亮散户" sheetId="16" r:id="rId16"/>
    <sheet name="快递兄弟" sheetId="17" r:id="rId17"/>
    <sheet name="顺达" sheetId="18" r:id="rId18"/>
    <sheet name="顺达老同" sheetId="19" r:id="rId19"/>
    <sheet name="德邦" sheetId="20" r:id="rId20"/>
    <sheet name="万家" sheetId="21" r:id="rId21"/>
    <sheet name="地都土" sheetId="22" r:id="rId22"/>
    <sheet name="陈店土" sheetId="23" r:id="rId23"/>
    <sheet name="云路土" sheetId="24" r:id="rId24"/>
    <sheet name="泥浆" sheetId="25" r:id="rId25"/>
    <sheet name="吊车大巴" sheetId="26" r:id="rId26"/>
    <sheet name="海大" sheetId="27" r:id="rId27"/>
    <sheet name="玉浦" sheetId="28" r:id="rId28"/>
    <sheet name="宾驰" sheetId="29" r:id="rId29"/>
    <sheet name="地都" sheetId="30" r:id="rId30"/>
    <sheet name="仙桥" sheetId="31" r:id="rId31"/>
    <sheet name="生隆" sheetId="32" r:id="rId32"/>
    <sheet name="陈店" sheetId="33" r:id="rId33"/>
    <sheet name="潮州" sheetId="34" r:id="rId34"/>
  </sheets>
  <definedNames>
    <definedName name="_xlnm._FilterDatabase" localSheetId="11" hidden="1">普宁中通!$E$22:$E$23</definedName>
    <definedName name="_xlnm._FilterDatabase" localSheetId="21" hidden="1">地都土!$E$23:$E$25</definedName>
    <definedName name="_xlnm._FilterDatabase" localSheetId="26" hidden="1">海大!$E$18:$E$19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<sst xmlns="http://schemas.openxmlformats.org/spreadsheetml/2006/main" count="1771" uniqueCount="635">
  <si>
    <t>名称：</t>
  </si>
  <si>
    <t>雄宇</t>
  </si>
  <si>
    <t>200升以上5.85，200升以下5.95</t>
  </si>
  <si>
    <t>粤V37731</t>
  </si>
  <si>
    <t>粤VX2081</t>
  </si>
  <si>
    <t>粤VX1739</t>
  </si>
  <si>
    <t>粤VN8296</t>
  </si>
  <si>
    <t>粤VR0563</t>
  </si>
  <si>
    <t>粤VW0056</t>
  </si>
  <si>
    <t>粤VM7980</t>
  </si>
  <si>
    <t>赣C1173Z</t>
  </si>
  <si>
    <t>粤VN3451</t>
  </si>
  <si>
    <t>粤VQ2203</t>
  </si>
  <si>
    <t>粤VY5201</t>
  </si>
  <si>
    <t>粤V82N55</t>
  </si>
  <si>
    <t>粤VA7245</t>
  </si>
  <si>
    <t>赣C6653W</t>
  </si>
  <si>
    <t>粤UQ3507</t>
  </si>
  <si>
    <t>粤MJ8298</t>
  </si>
  <si>
    <t>粤VV2703</t>
  </si>
  <si>
    <t>赣D96798</t>
  </si>
  <si>
    <t>粤VD4137</t>
  </si>
  <si>
    <t>粤VL1702</t>
  </si>
  <si>
    <t>粤VS8482</t>
  </si>
  <si>
    <t>粤V62762</t>
  </si>
  <si>
    <t>粤V34123</t>
  </si>
  <si>
    <t>粤VLK398</t>
  </si>
  <si>
    <t>粤VQ2850</t>
  </si>
  <si>
    <t>粤V90897</t>
  </si>
  <si>
    <t>粤VQ4140</t>
  </si>
  <si>
    <t>粤VUS125</t>
  </si>
  <si>
    <t>粤V6583D</t>
  </si>
  <si>
    <t>粤V55W71</t>
  </si>
  <si>
    <t>粤V07U15</t>
  </si>
  <si>
    <t>粤V0Q999</t>
  </si>
  <si>
    <t>日期</t>
  </si>
  <si>
    <t>车牌号</t>
  </si>
  <si>
    <t>数量</t>
  </si>
  <si>
    <t>单价</t>
  </si>
  <si>
    <t>金额</t>
  </si>
  <si>
    <t xml:space="preserve"> </t>
  </si>
  <si>
    <t xml:space="preserve">粤VW0056    </t>
  </si>
  <si>
    <t xml:space="preserve">粤VR0563    </t>
  </si>
  <si>
    <t xml:space="preserve">粤VQ4140    </t>
  </si>
  <si>
    <t xml:space="preserve">粤VUS125    </t>
  </si>
  <si>
    <t xml:space="preserve">粤VLK398    </t>
  </si>
  <si>
    <t xml:space="preserve">粤VM7980    </t>
  </si>
  <si>
    <t xml:space="preserve">粤UQ3507    </t>
  </si>
  <si>
    <t xml:space="preserve">粤VQ2850    </t>
  </si>
  <si>
    <t xml:space="preserve">粤VQ2203    </t>
  </si>
  <si>
    <t xml:space="preserve">赣D96798    </t>
  </si>
  <si>
    <t xml:space="preserve">粤VN8296    </t>
  </si>
  <si>
    <t xml:space="preserve">粤V82N55    </t>
  </si>
  <si>
    <t xml:space="preserve">粤V07U15    </t>
  </si>
  <si>
    <t xml:space="preserve">粤MJ8298    </t>
  </si>
  <si>
    <t xml:space="preserve">粤V55W71    </t>
  </si>
  <si>
    <t xml:space="preserve">粤V0Q999    </t>
  </si>
  <si>
    <t xml:space="preserve">粤V34123    </t>
  </si>
  <si>
    <t xml:space="preserve">粤VX2081    </t>
  </si>
  <si>
    <t xml:space="preserve">粤VS8482    </t>
  </si>
  <si>
    <t xml:space="preserve">赣C1173Z    </t>
  </si>
  <si>
    <t xml:space="preserve">粤VY5201    </t>
  </si>
  <si>
    <t xml:space="preserve">粤V62762    </t>
  </si>
  <si>
    <t xml:space="preserve">赣C6653W    </t>
  </si>
  <si>
    <t xml:space="preserve">粤VL1702    </t>
  </si>
  <si>
    <t xml:space="preserve">粤VX1739    </t>
  </si>
  <si>
    <t>林丹娜</t>
  </si>
  <si>
    <t>粤VQ6290</t>
  </si>
  <si>
    <t>粤VAF892</t>
  </si>
  <si>
    <t>赣CA1338</t>
  </si>
  <si>
    <t>粤V695Q5</t>
  </si>
  <si>
    <t>粤VZ0668</t>
  </si>
  <si>
    <t>粤VP5526</t>
  </si>
  <si>
    <t>粤VS6571</t>
  </si>
  <si>
    <t>200升以上5.85</t>
  </si>
  <si>
    <t>粤V9P969</t>
  </si>
  <si>
    <t>粤V79697</t>
  </si>
  <si>
    <t>粤VA4769</t>
  </si>
  <si>
    <t>粤VX5710</t>
  </si>
  <si>
    <t>粤V21146</t>
  </si>
  <si>
    <t>机动084</t>
  </si>
  <si>
    <t>机动084就是408</t>
  </si>
  <si>
    <t xml:space="preserve">粤VA4769    </t>
  </si>
  <si>
    <t xml:space="preserve">赣CA1338    </t>
  </si>
  <si>
    <t xml:space="preserve">粤V79697    </t>
  </si>
  <si>
    <t xml:space="preserve">机动        </t>
  </si>
  <si>
    <t xml:space="preserve">粤V695Q5    </t>
  </si>
  <si>
    <t xml:space="preserve">粤VS6571    </t>
  </si>
  <si>
    <t>锐忠散户</t>
  </si>
  <si>
    <t>粤V05268</t>
  </si>
  <si>
    <t>粤V92187</t>
  </si>
  <si>
    <t>粤V98509</t>
  </si>
  <si>
    <t>粤LT616Z</t>
  </si>
  <si>
    <t>粤V02182</t>
  </si>
  <si>
    <t>粤V39548</t>
  </si>
  <si>
    <t>粤V03965</t>
  </si>
  <si>
    <t>赣M83285</t>
  </si>
  <si>
    <t>粤VZ3080</t>
  </si>
  <si>
    <t>粤V03863</t>
  </si>
  <si>
    <t>粤V73761</t>
  </si>
  <si>
    <t>粤VN0966</t>
  </si>
  <si>
    <t>粤VF6926</t>
  </si>
  <si>
    <t>粤V01972</t>
  </si>
  <si>
    <t>锐忠机动</t>
  </si>
  <si>
    <t>赣C0R531</t>
  </si>
  <si>
    <t>赣C5N490</t>
  </si>
  <si>
    <t>粤VA1422</t>
  </si>
  <si>
    <t>赣CCG859</t>
  </si>
  <si>
    <t>粤V05249</t>
  </si>
  <si>
    <t>赣C3M640</t>
  </si>
  <si>
    <t>粤V03048</t>
  </si>
  <si>
    <t>赣AQ2711</t>
  </si>
  <si>
    <t>粤AFW372</t>
  </si>
  <si>
    <t>赣CAZ939</t>
  </si>
  <si>
    <t>粤D2879K</t>
  </si>
  <si>
    <t>粤VP6887</t>
  </si>
  <si>
    <t>机动537</t>
  </si>
  <si>
    <t>吴红忠</t>
  </si>
  <si>
    <t>红忠大同卡</t>
  </si>
  <si>
    <t>机动卡077</t>
  </si>
  <si>
    <t>机动卡尾号077</t>
  </si>
  <si>
    <t>锐忠</t>
  </si>
  <si>
    <t>粤VW8769</t>
  </si>
  <si>
    <t>粤VZ8558</t>
  </si>
  <si>
    <t>粤VX0945</t>
  </si>
  <si>
    <t>赣CAY252</t>
  </si>
  <si>
    <t>粤V6V115</t>
  </si>
  <si>
    <t>粤VQ4541</t>
  </si>
  <si>
    <t>粤VN3920</t>
  </si>
  <si>
    <t>赣M12207</t>
  </si>
  <si>
    <t>粤V6C896</t>
  </si>
  <si>
    <t>赣K96093</t>
  </si>
  <si>
    <t>粤V913D0</t>
  </si>
  <si>
    <t>粤MS2183</t>
  </si>
  <si>
    <t>粤VZ6586</t>
  </si>
  <si>
    <t>粤V5179D</t>
  </si>
  <si>
    <t>粤VN2691</t>
  </si>
  <si>
    <t>粤VQW072</t>
  </si>
  <si>
    <t>粤VQ8931</t>
  </si>
  <si>
    <t>粤VS5738</t>
  </si>
  <si>
    <t>粤V5K938</t>
  </si>
  <si>
    <t>粤V829U2</t>
  </si>
  <si>
    <t>粤VN2495</t>
  </si>
  <si>
    <t>赣C5M101</t>
  </si>
  <si>
    <t>粤VAH099</t>
  </si>
  <si>
    <t>粤VV2273</t>
  </si>
  <si>
    <t>粤V1805K</t>
  </si>
  <si>
    <t>赣C8M788</t>
  </si>
  <si>
    <t>皖LH6186</t>
  </si>
  <si>
    <t xml:space="preserve">粤VAH099    </t>
  </si>
  <si>
    <t xml:space="preserve">赣K96093    </t>
  </si>
  <si>
    <t xml:space="preserve">粤VN3920    </t>
  </si>
  <si>
    <t xml:space="preserve">粤VW8769    </t>
  </si>
  <si>
    <t xml:space="preserve">粤V913D0    </t>
  </si>
  <si>
    <t xml:space="preserve">赣M12207    </t>
  </si>
  <si>
    <t xml:space="preserve">粤VS5738    </t>
  </si>
  <si>
    <t xml:space="preserve">粤V6V115    </t>
  </si>
  <si>
    <t xml:space="preserve">粤V829U2    </t>
  </si>
  <si>
    <t xml:space="preserve">粤V5179D    </t>
  </si>
  <si>
    <t xml:space="preserve">粤V1805K    </t>
  </si>
  <si>
    <t xml:space="preserve">粤VQ8931    </t>
  </si>
  <si>
    <t xml:space="preserve">粤V5K938    </t>
  </si>
  <si>
    <t xml:space="preserve">粤VQW072    </t>
  </si>
  <si>
    <t xml:space="preserve">赣C5M101    </t>
  </si>
  <si>
    <t xml:space="preserve">粤VV2273    </t>
  </si>
  <si>
    <t xml:space="preserve">粤VN2691    </t>
  </si>
  <si>
    <t>标胜</t>
  </si>
  <si>
    <t>粤D056K1</t>
  </si>
  <si>
    <t>粤D21318</t>
  </si>
  <si>
    <t>粤MY3522</t>
  </si>
  <si>
    <t>粤D3169M</t>
  </si>
  <si>
    <t>灿林</t>
  </si>
  <si>
    <t>桂P00281</t>
  </si>
  <si>
    <t>桂P55530</t>
  </si>
  <si>
    <t>粤V197F5</t>
  </si>
  <si>
    <t>粤V692C5</t>
  </si>
  <si>
    <t>粤V763F6</t>
  </si>
  <si>
    <t xml:space="preserve">粤V763F6    </t>
  </si>
  <si>
    <t xml:space="preserve">桂P55530    </t>
  </si>
  <si>
    <t xml:space="preserve">桂P00281    </t>
  </si>
  <si>
    <t xml:space="preserve">粤V692C5    </t>
  </si>
  <si>
    <t xml:space="preserve">粤V197F5    </t>
  </si>
  <si>
    <t>葫芦车队</t>
  </si>
  <si>
    <t>赣M68158</t>
  </si>
  <si>
    <t>赣M69808</t>
  </si>
  <si>
    <t>赣M32396</t>
  </si>
  <si>
    <t>粤BGC255</t>
  </si>
  <si>
    <t>赣M95300</t>
  </si>
  <si>
    <t>赣AM0017</t>
  </si>
  <si>
    <t>广大车队</t>
  </si>
  <si>
    <t>粤MA3572</t>
  </si>
  <si>
    <t>粤VH6928</t>
  </si>
  <si>
    <t>粤V59565</t>
  </si>
  <si>
    <t>粤V05688</t>
  </si>
  <si>
    <t>粤VZ5876</t>
  </si>
  <si>
    <t>粤VN6192</t>
  </si>
  <si>
    <t>赣CN2832</t>
  </si>
  <si>
    <t>赣CN6362就是（赣CN6326）</t>
  </si>
  <si>
    <t>赣C1M572</t>
  </si>
  <si>
    <t>粤VA5288</t>
  </si>
  <si>
    <t>粤V89116</t>
  </si>
  <si>
    <t>赣K61863</t>
  </si>
  <si>
    <t>赣CN6326</t>
  </si>
  <si>
    <t>粤VB8152</t>
  </si>
  <si>
    <t>粤V13713</t>
  </si>
  <si>
    <t>赣CN6362</t>
  </si>
  <si>
    <t xml:space="preserve">赣C1M572    </t>
  </si>
  <si>
    <t xml:space="preserve">粤VH6928    </t>
  </si>
  <si>
    <t xml:space="preserve">粤V59565    </t>
  </si>
  <si>
    <t xml:space="preserve">赣CN2832    </t>
  </si>
  <si>
    <t xml:space="preserve">粤VZ5876    </t>
  </si>
  <si>
    <t xml:space="preserve">粤V89116    </t>
  </si>
  <si>
    <t xml:space="preserve">粤V13713    </t>
  </si>
  <si>
    <t xml:space="preserve">粤VB8152    </t>
  </si>
  <si>
    <t>燕姐车队</t>
  </si>
  <si>
    <t>粤V510F2</t>
  </si>
  <si>
    <t>粤V591G8</t>
  </si>
  <si>
    <t>粤VQ5721</t>
  </si>
  <si>
    <t>粤VL8309</t>
  </si>
  <si>
    <t>粤VH9182</t>
  </si>
  <si>
    <t>粤VUC963</t>
  </si>
  <si>
    <t xml:space="preserve">粤V591G8    </t>
  </si>
  <si>
    <t xml:space="preserve">粤V510F2    </t>
  </si>
  <si>
    <t xml:space="preserve">粤VL8309    </t>
  </si>
  <si>
    <t xml:space="preserve">粤VH9182    </t>
  </si>
  <si>
    <t xml:space="preserve">粤VUC963    </t>
  </si>
  <si>
    <t xml:space="preserve">粤VQ5721    </t>
  </si>
  <si>
    <t>杰兄车队</t>
  </si>
  <si>
    <t>粤VV1046</t>
  </si>
  <si>
    <t>粤V62075</t>
  </si>
  <si>
    <t>豫LN3539</t>
  </si>
  <si>
    <t>赣C3F188</t>
  </si>
  <si>
    <t xml:space="preserve">赣C3F188    </t>
  </si>
  <si>
    <t xml:space="preserve">豫LN3539    </t>
  </si>
  <si>
    <t>普宁中通快运</t>
  </si>
  <si>
    <t>粤VTY783</t>
  </si>
  <si>
    <t>粤DNP201</t>
  </si>
  <si>
    <t>粤DQV162</t>
  </si>
  <si>
    <t xml:space="preserve">粤VTY783    </t>
  </si>
  <si>
    <t xml:space="preserve">粤DNP201    </t>
  </si>
  <si>
    <t>伟彦车队</t>
  </si>
  <si>
    <t>粤V64282</t>
  </si>
  <si>
    <t>粤V05706</t>
  </si>
  <si>
    <t>赣C8M199</t>
  </si>
  <si>
    <t>赣FD3778</t>
  </si>
  <si>
    <t>赣C6M785</t>
  </si>
  <si>
    <t>赣C2P305</t>
  </si>
  <si>
    <t>赣C33883</t>
  </si>
  <si>
    <t>粤V38898</t>
  </si>
  <si>
    <t>赣CQ5137</t>
  </si>
  <si>
    <t>粤VN2612</t>
  </si>
  <si>
    <t>粤VU6120</t>
  </si>
  <si>
    <t>赣CT4166</t>
  </si>
  <si>
    <t>粤VV9213</t>
  </si>
  <si>
    <t xml:space="preserve">赣CT4166    </t>
  </si>
  <si>
    <t xml:space="preserve">赣C33883    </t>
  </si>
  <si>
    <t xml:space="preserve">赣C6M785    </t>
  </si>
  <si>
    <t xml:space="preserve">粤VN2612    </t>
  </si>
  <si>
    <t>阳江车队</t>
  </si>
  <si>
    <t>粤DR0325</t>
  </si>
  <si>
    <t>豫PJ7893</t>
  </si>
  <si>
    <t>豫PR0319</t>
  </si>
  <si>
    <t>豫PM5385</t>
  </si>
  <si>
    <t>豫NE0896</t>
  </si>
  <si>
    <t>豫D3E82挂</t>
  </si>
  <si>
    <t>豫PR5898</t>
  </si>
  <si>
    <t>豫PY7588</t>
  </si>
  <si>
    <t>豫PV7029</t>
  </si>
  <si>
    <t>豫PK1230</t>
  </si>
  <si>
    <t>豫LL9613</t>
  </si>
  <si>
    <t xml:space="preserve">豫NE0896    </t>
  </si>
  <si>
    <t xml:space="preserve">豫PM5385    </t>
  </si>
  <si>
    <t>陈洁治</t>
  </si>
  <si>
    <t>粤D78823</t>
  </si>
  <si>
    <t>粤D15896</t>
  </si>
  <si>
    <t>粤D18025</t>
  </si>
  <si>
    <t>粤D20700</t>
  </si>
  <si>
    <t>粤D68607</t>
  </si>
  <si>
    <t>粤D24532</t>
  </si>
  <si>
    <t>玉亮散户</t>
  </si>
  <si>
    <t>机动</t>
  </si>
  <si>
    <t>粤V9062挂</t>
  </si>
  <si>
    <t>粤V8015挂</t>
  </si>
  <si>
    <t>粤V1855挂</t>
  </si>
  <si>
    <t>粤V6921挂</t>
  </si>
  <si>
    <t>粤V5383挂</t>
  </si>
  <si>
    <t>赣AQ1359</t>
  </si>
  <si>
    <t>赣A79551</t>
  </si>
  <si>
    <t>云AP7151</t>
  </si>
  <si>
    <t>赣C8803X</t>
  </si>
  <si>
    <t>赣C3690D</t>
  </si>
  <si>
    <t>赣M75596</t>
  </si>
  <si>
    <t>赣AM0706</t>
  </si>
  <si>
    <t>赣A18033</t>
  </si>
  <si>
    <t>赣M89207</t>
  </si>
  <si>
    <t>赣CAA609</t>
  </si>
  <si>
    <t>赣AP9395</t>
  </si>
  <si>
    <t>赣M12215</t>
  </si>
  <si>
    <t>赣C3632D</t>
  </si>
  <si>
    <t>赣C3631D</t>
  </si>
  <si>
    <t>粤VNF918</t>
  </si>
  <si>
    <t>粤VP1434</t>
  </si>
  <si>
    <t>粤UU7192</t>
  </si>
  <si>
    <t>皖CC0859</t>
  </si>
  <si>
    <t>赣AK9528</t>
  </si>
  <si>
    <t>赣CCF153</t>
  </si>
  <si>
    <t>赣CBA782</t>
  </si>
  <si>
    <t>赣A76585</t>
  </si>
  <si>
    <t>赣M75987</t>
  </si>
  <si>
    <t>赣C7876X</t>
  </si>
  <si>
    <t>赣C6305X</t>
  </si>
  <si>
    <t>赣CC7485</t>
  </si>
  <si>
    <t>赣C5771X</t>
  </si>
  <si>
    <t>赣C3389D</t>
  </si>
  <si>
    <t>赣M13300</t>
  </si>
  <si>
    <t>赣M22526</t>
  </si>
  <si>
    <t>赣M56992</t>
  </si>
  <si>
    <t>粤VN2395</t>
  </si>
  <si>
    <t>粤VG3523</t>
  </si>
  <si>
    <t>粤VJ4386</t>
  </si>
  <si>
    <t>赣M29965</t>
  </si>
  <si>
    <t>赣AE5681</t>
  </si>
  <si>
    <t xml:space="preserve">赣M56992    </t>
  </si>
  <si>
    <t>s</t>
  </si>
  <si>
    <t>快递兄弟</t>
  </si>
  <si>
    <t>粤V7Q601</t>
  </si>
  <si>
    <t>粤A89KG0</t>
  </si>
  <si>
    <t>粤ADQ017</t>
  </si>
  <si>
    <t>粤ABZ619</t>
  </si>
  <si>
    <t>粤BLC651</t>
  </si>
  <si>
    <t>粤BMJ270</t>
  </si>
  <si>
    <t>粤BKM787</t>
  </si>
  <si>
    <t>粤ADL651</t>
  </si>
  <si>
    <t>粤ACJ903</t>
  </si>
  <si>
    <t>粤AJK235</t>
  </si>
  <si>
    <t>粤AFC987</t>
  </si>
  <si>
    <t>粤AKJ366</t>
  </si>
  <si>
    <t>粤ACQ649</t>
  </si>
  <si>
    <t>皖SB5581</t>
  </si>
  <si>
    <t>粤VW1235</t>
  </si>
  <si>
    <t>赣FD0010</t>
  </si>
  <si>
    <t>赣A11289</t>
  </si>
  <si>
    <t>赣CAY593</t>
  </si>
  <si>
    <t>粤BFE684</t>
  </si>
  <si>
    <t>粤AFP226</t>
  </si>
  <si>
    <t xml:space="preserve">粤AKJ366    </t>
  </si>
  <si>
    <t xml:space="preserve">皖SB5581    </t>
  </si>
  <si>
    <t xml:space="preserve">粤ADQ017    </t>
  </si>
  <si>
    <t xml:space="preserve">粤AFP226    </t>
  </si>
  <si>
    <t xml:space="preserve">粤AFC987    </t>
  </si>
  <si>
    <t xml:space="preserve">粤ADL651    </t>
  </si>
  <si>
    <t xml:space="preserve">粤ACQ649    </t>
  </si>
  <si>
    <t xml:space="preserve">粤AJK235    </t>
  </si>
  <si>
    <t xml:space="preserve">粤VW1235    </t>
  </si>
  <si>
    <t>顺达车队</t>
  </si>
  <si>
    <t>粤VH9031</t>
  </si>
  <si>
    <t>粤V05216</t>
  </si>
  <si>
    <t>粤VM9409</t>
  </si>
  <si>
    <t>赣C3897D</t>
  </si>
  <si>
    <t>粤V62021</t>
  </si>
  <si>
    <t>粤VR3356</t>
  </si>
  <si>
    <t>赣C2892D</t>
  </si>
  <si>
    <t>粤V27325</t>
  </si>
  <si>
    <t>粤VS1096</t>
  </si>
  <si>
    <t xml:space="preserve">粤V62021    </t>
  </si>
  <si>
    <t xml:space="preserve">赣C2892D    </t>
  </si>
  <si>
    <t xml:space="preserve">赣C3897D    </t>
  </si>
  <si>
    <t xml:space="preserve">粤VM9409    </t>
  </si>
  <si>
    <t xml:space="preserve">粤V05216    </t>
  </si>
  <si>
    <t xml:space="preserve">粤V27325    </t>
  </si>
  <si>
    <t xml:space="preserve">粤VH9031    </t>
  </si>
  <si>
    <t xml:space="preserve">粤VR3356    </t>
  </si>
  <si>
    <t xml:space="preserve">粤VS1096    </t>
  </si>
  <si>
    <t>顺达老同</t>
  </si>
  <si>
    <t>粤V03880</t>
  </si>
  <si>
    <t>皖SF3518</t>
  </si>
  <si>
    <t>粤VN3300</t>
  </si>
  <si>
    <t>赣C2359D</t>
  </si>
  <si>
    <t xml:space="preserve">赣C2359D    </t>
  </si>
  <si>
    <t xml:space="preserve">粤VN3300    </t>
  </si>
  <si>
    <t xml:space="preserve">粤V03880    </t>
  </si>
  <si>
    <t>德邦物流</t>
  </si>
  <si>
    <t>粤DF719J</t>
  </si>
  <si>
    <t>粤V979F8</t>
  </si>
  <si>
    <t>粤VJF787</t>
  </si>
  <si>
    <t>粤V257R6</t>
  </si>
  <si>
    <t>粤VQ8539</t>
  </si>
  <si>
    <t>粤DB670B</t>
  </si>
  <si>
    <t>粤D911Q3</t>
  </si>
  <si>
    <t>粤DD102W</t>
  </si>
  <si>
    <t>粤DD623R</t>
  </si>
  <si>
    <t>粤D598U1</t>
  </si>
  <si>
    <t>粤D0982C</t>
  </si>
  <si>
    <t>赣F8U275</t>
  </si>
  <si>
    <t>粤VC6932</t>
  </si>
  <si>
    <t>粤D6U358</t>
  </si>
  <si>
    <t>粤D18393</t>
  </si>
  <si>
    <t>粤VBW931</t>
  </si>
  <si>
    <t>粤VDR830</t>
  </si>
  <si>
    <t xml:space="preserve">粤V979F8    </t>
  </si>
  <si>
    <t xml:space="preserve">粤D598U1    </t>
  </si>
  <si>
    <t xml:space="preserve">粤D911Q3    </t>
  </si>
  <si>
    <t xml:space="preserve">粤DF719J    </t>
  </si>
  <si>
    <t xml:space="preserve">粤VDR830    </t>
  </si>
  <si>
    <t xml:space="preserve">粤DB670B    </t>
  </si>
  <si>
    <t xml:space="preserve">粤V257R6    </t>
  </si>
  <si>
    <t xml:space="preserve">粤D0982C    </t>
  </si>
  <si>
    <t xml:space="preserve">粤D6U358    </t>
  </si>
  <si>
    <t xml:space="preserve">粤DD623R    </t>
  </si>
  <si>
    <t xml:space="preserve">粤DD102W    </t>
  </si>
  <si>
    <t xml:space="preserve">粤VC6932    </t>
  </si>
  <si>
    <t xml:space="preserve">粤VJF787    </t>
  </si>
  <si>
    <t xml:space="preserve">赣F8U275    </t>
  </si>
  <si>
    <t xml:space="preserve">粤D18393    </t>
  </si>
  <si>
    <t>万家物流</t>
  </si>
  <si>
    <t>粤V98689</t>
  </si>
  <si>
    <t>粤VX6670</t>
  </si>
  <si>
    <t>粤V1088B</t>
  </si>
  <si>
    <t>粤VN3842</t>
  </si>
  <si>
    <t>粤VM8760</t>
  </si>
  <si>
    <t>粤D2193T</t>
  </si>
  <si>
    <t>闽EK5739</t>
  </si>
  <si>
    <t>粤VN3731</t>
  </si>
  <si>
    <t>粤USZ732</t>
  </si>
  <si>
    <t>湘MYX308</t>
  </si>
  <si>
    <t xml:space="preserve">粤D2193T    </t>
  </si>
  <si>
    <t xml:space="preserve">粤VM8760    </t>
  </si>
  <si>
    <t xml:space="preserve">粤VX6670    </t>
  </si>
  <si>
    <t xml:space="preserve">粤VN3842    </t>
  </si>
  <si>
    <t xml:space="preserve">湘MYX308    </t>
  </si>
  <si>
    <t xml:space="preserve">粤V1088B    </t>
  </si>
  <si>
    <t xml:space="preserve">粤V98689    </t>
  </si>
  <si>
    <t xml:space="preserve">粤VN3731    </t>
  </si>
  <si>
    <t xml:space="preserve">粤USZ732    </t>
  </si>
  <si>
    <t>地都土车</t>
  </si>
  <si>
    <t>赣K91156</t>
  </si>
  <si>
    <t>赣K96889</t>
  </si>
  <si>
    <t>赣K90760</t>
  </si>
  <si>
    <t>鄂S277B2</t>
  </si>
  <si>
    <t>渝DN0872</t>
  </si>
  <si>
    <t>粤DE853H</t>
  </si>
  <si>
    <t xml:space="preserve">赣K91156    </t>
  </si>
  <si>
    <t xml:space="preserve">赣K90760    </t>
  </si>
  <si>
    <t xml:space="preserve">鄂S277B2    </t>
  </si>
  <si>
    <t>陈店土车</t>
  </si>
  <si>
    <t>粤N12662</t>
  </si>
  <si>
    <t>赣KA2123</t>
  </si>
  <si>
    <t>赣K62008</t>
  </si>
  <si>
    <t>赣K61097</t>
  </si>
  <si>
    <t>赣K85298</t>
  </si>
  <si>
    <t>赣K16896</t>
  </si>
  <si>
    <t>粤VC7032</t>
  </si>
  <si>
    <t xml:space="preserve">赣K16896    </t>
  </si>
  <si>
    <t xml:space="preserve">赣K85298    </t>
  </si>
  <si>
    <t xml:space="preserve">赣K62008    </t>
  </si>
  <si>
    <t xml:space="preserve">粤N12662    </t>
  </si>
  <si>
    <t xml:space="preserve">赣KA2123    </t>
  </si>
  <si>
    <t xml:space="preserve">粤VC7032    </t>
  </si>
  <si>
    <t xml:space="preserve">赣K61097    </t>
  </si>
  <si>
    <t>云路土车</t>
  </si>
  <si>
    <t>粤UU6233</t>
  </si>
  <si>
    <t>赣C2296D</t>
  </si>
  <si>
    <t>湘ER0378</t>
  </si>
  <si>
    <t>泥浆叔</t>
  </si>
  <si>
    <t>粤VW0955</t>
  </si>
  <si>
    <t>粤VK2252</t>
  </si>
  <si>
    <t>粤V24628</t>
  </si>
  <si>
    <t>粤VA8585</t>
  </si>
  <si>
    <t>粤VJ1269</t>
  </si>
  <si>
    <t>粤MY8211</t>
  </si>
  <si>
    <t>粤VX6523</t>
  </si>
  <si>
    <t>粤VE3905</t>
  </si>
  <si>
    <t>闽FC1636</t>
  </si>
  <si>
    <t>粤VB6549</t>
  </si>
  <si>
    <t>粤V02572</t>
  </si>
  <si>
    <t>粤VX6757</t>
  </si>
  <si>
    <t>粤V60035</t>
  </si>
  <si>
    <t>粤VV7982</t>
  </si>
  <si>
    <t>粤VC2610</t>
  </si>
  <si>
    <t>粤V37282</t>
  </si>
  <si>
    <t xml:space="preserve">粤V60035    </t>
  </si>
  <si>
    <t xml:space="preserve">粤MY8211    </t>
  </si>
  <si>
    <t xml:space="preserve">粤V02572    </t>
  </si>
  <si>
    <t xml:space="preserve">粤VW0955    </t>
  </si>
  <si>
    <t xml:space="preserve">粤VC2610    </t>
  </si>
  <si>
    <t xml:space="preserve">粤VX6757    </t>
  </si>
  <si>
    <t xml:space="preserve">粤VJ1269    </t>
  </si>
  <si>
    <t xml:space="preserve">粤V37282    </t>
  </si>
  <si>
    <t xml:space="preserve">粤VV7982    </t>
  </si>
  <si>
    <t xml:space="preserve">粤VE3905    </t>
  </si>
  <si>
    <t xml:space="preserve">闽FC1636    </t>
  </si>
  <si>
    <t xml:space="preserve">粤VB6549    </t>
  </si>
  <si>
    <t>吊车大巴</t>
  </si>
  <si>
    <t>粤VV8785</t>
  </si>
  <si>
    <t>粤V28395</t>
  </si>
  <si>
    <t>粤V03056</t>
  </si>
  <si>
    <t>粤VR4233</t>
  </si>
  <si>
    <t>粤V68489</t>
  </si>
  <si>
    <t>赣FB1372</t>
  </si>
  <si>
    <t>粤VR5076</t>
  </si>
  <si>
    <t>粤V03612</t>
  </si>
  <si>
    <t>粤VT8968</t>
  </si>
  <si>
    <t>粤V89111</t>
  </si>
  <si>
    <t>粤V99019</t>
  </si>
  <si>
    <t>粤D88434</t>
  </si>
  <si>
    <t>粤VR3016</t>
  </si>
  <si>
    <t>粤V02135</t>
  </si>
  <si>
    <t>粤VM0129</t>
  </si>
  <si>
    <t>粤VY5715</t>
  </si>
  <si>
    <t>粤VG9659</t>
  </si>
  <si>
    <t>粤VD6955</t>
  </si>
  <si>
    <t>粤VT6648</t>
  </si>
  <si>
    <t>粤V27S00</t>
  </si>
  <si>
    <t>赣CBM909</t>
  </si>
  <si>
    <t>粤VA8711</t>
  </si>
  <si>
    <t>粤V97339</t>
  </si>
  <si>
    <t>粤VV0871</t>
  </si>
  <si>
    <t>粤VF6831</t>
  </si>
  <si>
    <t>桂E27128</t>
  </si>
  <si>
    <t>粤V74118</t>
  </si>
  <si>
    <t>粤VQ8208</t>
  </si>
  <si>
    <t>粤BDV443</t>
  </si>
  <si>
    <t>粤VPH261</t>
  </si>
  <si>
    <t>粤VR6232</t>
  </si>
  <si>
    <t>粤VG5648</t>
  </si>
  <si>
    <t>粤VN0683</t>
  </si>
  <si>
    <t>粤VMJ276</t>
  </si>
  <si>
    <t>粤V21X63</t>
  </si>
  <si>
    <t>粤D52N31</t>
  </si>
  <si>
    <t>粤VNV905</t>
  </si>
  <si>
    <t>粤VR5789</t>
  </si>
  <si>
    <t>粤VU0576</t>
  </si>
  <si>
    <t>粤VF3013</t>
  </si>
  <si>
    <t>粤VR5212</t>
  </si>
  <si>
    <t>粤VNM955</t>
  </si>
  <si>
    <t xml:space="preserve">粤VM0129    </t>
  </si>
  <si>
    <t xml:space="preserve">粤V27S00    </t>
  </si>
  <si>
    <t xml:space="preserve">粤VNV905    </t>
  </si>
  <si>
    <t xml:space="preserve">桂E27128    </t>
  </si>
  <si>
    <t xml:space="preserve">粤VR3016    </t>
  </si>
  <si>
    <t xml:space="preserve">粤V97339    </t>
  </si>
  <si>
    <t xml:space="preserve">粤VG5648    </t>
  </si>
  <si>
    <t xml:space="preserve">粤VV8785    </t>
  </si>
  <si>
    <t xml:space="preserve">粤D52N31    </t>
  </si>
  <si>
    <t xml:space="preserve">粤D88434    </t>
  </si>
  <si>
    <t xml:space="preserve">粤V03056    </t>
  </si>
  <si>
    <t xml:space="preserve">粤VMJ276    </t>
  </si>
  <si>
    <t xml:space="preserve">粤V99019    </t>
  </si>
  <si>
    <t xml:space="preserve">粤VD6955    </t>
  </si>
  <si>
    <t xml:space="preserve">粤BDV443    </t>
  </si>
  <si>
    <t xml:space="preserve">粤V02135    </t>
  </si>
  <si>
    <t xml:space="preserve">粤V03612    </t>
  </si>
  <si>
    <t xml:space="preserve">粤V68489    </t>
  </si>
  <si>
    <t xml:space="preserve">粤VV0871    </t>
  </si>
  <si>
    <t xml:space="preserve">赣CBM909    </t>
  </si>
  <si>
    <t xml:space="preserve">粤VPH261    </t>
  </si>
  <si>
    <t xml:space="preserve">粤V74118    </t>
  </si>
  <si>
    <t xml:space="preserve">粤VR4233    </t>
  </si>
  <si>
    <t xml:space="preserve">粤VR5789    </t>
  </si>
  <si>
    <t xml:space="preserve">粤VNM955    </t>
  </si>
  <si>
    <t xml:space="preserve">粤VY5715    </t>
  </si>
  <si>
    <t xml:space="preserve">粤V89111    </t>
  </si>
  <si>
    <t xml:space="preserve">粤VT8968    </t>
  </si>
  <si>
    <t xml:space="preserve">粤VG9659    </t>
  </si>
  <si>
    <t xml:space="preserve">粤V28395    </t>
  </si>
  <si>
    <t xml:space="preserve">粤VF3013    </t>
  </si>
  <si>
    <t>海大车队</t>
  </si>
  <si>
    <t>粤V9Q332</t>
  </si>
  <si>
    <t>粤V2M625</t>
  </si>
  <si>
    <t>粤VZA550</t>
  </si>
  <si>
    <t>粤D072F9</t>
  </si>
  <si>
    <t>粤V76689</t>
  </si>
  <si>
    <t>粤V6P518</t>
  </si>
  <si>
    <t>闽EK6271</t>
  </si>
  <si>
    <t xml:space="preserve">粤V76689    </t>
  </si>
  <si>
    <t xml:space="preserve">粤V9Q332    </t>
  </si>
  <si>
    <t xml:space="preserve">粤V6P518    </t>
  </si>
  <si>
    <t xml:space="preserve">闽EK6271    </t>
  </si>
  <si>
    <t xml:space="preserve">粤V2M625    </t>
  </si>
  <si>
    <t>玉浦车队</t>
  </si>
  <si>
    <t>粤V02H51</t>
  </si>
  <si>
    <t>粤VTP983</t>
  </si>
  <si>
    <t>粤V62M93</t>
  </si>
  <si>
    <t>粤V9U712</t>
  </si>
  <si>
    <t>粤V91280</t>
  </si>
  <si>
    <t>粤VND073</t>
  </si>
  <si>
    <t xml:space="preserve">粤V62M93    </t>
  </si>
  <si>
    <t>宾驰散户</t>
  </si>
  <si>
    <t>赣BP8206</t>
  </si>
  <si>
    <t>地都代卖</t>
  </si>
  <si>
    <t>200升以上5.8，200升以下5.85</t>
  </si>
  <si>
    <t>粤VC5817</t>
  </si>
  <si>
    <t>粤VY9799</t>
  </si>
  <si>
    <t>粤V01S73</t>
  </si>
  <si>
    <t>粤VN3555</t>
  </si>
  <si>
    <t>赣CBH096</t>
  </si>
  <si>
    <t>赣C9481X</t>
  </si>
  <si>
    <t>仙桥代卖</t>
  </si>
  <si>
    <t>粤D11292</t>
  </si>
  <si>
    <t>赣CCL432</t>
  </si>
  <si>
    <t>粤V5797挂</t>
  </si>
  <si>
    <t>粤MU9803</t>
  </si>
  <si>
    <t>粤MW0238</t>
  </si>
  <si>
    <t>粤M35329</t>
  </si>
  <si>
    <t>粤VCN561</t>
  </si>
  <si>
    <t>粤VW1689</t>
  </si>
  <si>
    <t>赣K89533</t>
  </si>
  <si>
    <t>粤VR3995</t>
  </si>
  <si>
    <t>粤U51320</t>
  </si>
  <si>
    <t>粤VF6995</t>
  </si>
  <si>
    <t>粤V93E12</t>
  </si>
  <si>
    <t xml:space="preserve">赣K89533    </t>
  </si>
  <si>
    <t xml:space="preserve">粤VW1689    </t>
  </si>
  <si>
    <t xml:space="preserve">粤VCN561    </t>
  </si>
  <si>
    <t>生隆代刷卡</t>
  </si>
  <si>
    <t>粤VX3353</t>
  </si>
  <si>
    <t>鄂FGF830</t>
  </si>
  <si>
    <t>粤V770E3</t>
  </si>
  <si>
    <t>粤VV2250</t>
  </si>
  <si>
    <t>粤VX6720</t>
  </si>
  <si>
    <t>粤V08352</t>
  </si>
  <si>
    <t>粤VW1837</t>
  </si>
  <si>
    <t>粤VN9067</t>
  </si>
  <si>
    <t xml:space="preserve">粤VX3353    </t>
  </si>
  <si>
    <t>陈店代刷卡</t>
  </si>
  <si>
    <t>粤V08385</t>
  </si>
  <si>
    <t>鲁RL7970</t>
  </si>
  <si>
    <t>粤VBN555</t>
  </si>
  <si>
    <t>赣C0929D</t>
  </si>
  <si>
    <t>粤MC0863</t>
  </si>
  <si>
    <t>粤V5J502</t>
  </si>
  <si>
    <t>潮州代刷卡</t>
  </si>
  <si>
    <t>粤MR7711</t>
  </si>
  <si>
    <t>粤D96T48</t>
  </si>
  <si>
    <t>粤MQ5255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</si>
</sst>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0_);[Red]\(0.00\)"/>
    <numFmt numFmtId="179" formatCode="0.0_ "/>
  </numFmts>
  <fonts count="36">
    <font>
      <sz val="11"/>
      <color theme="1"/>
      <name val="等线"/>
      <charset val="134"/>
      <scheme val="minor"/>
    </font>
    <font>
      <b/>
      <sz val="14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b/>
      <sz val="12"/>
      <color theme="1"/>
      <name val="宋体"/>
      <charset val="134"/>
    </font>
    <font>
      <sz val="11"/>
      <name val="等线"/>
      <charset val="134"/>
      <scheme val="minor"/>
    </font>
    <font>
      <b/>
      <sz val="12"/>
      <name val="宋体"/>
      <charset val="134"/>
    </font>
    <font>
      <sz val="11"/>
      <color indexed="8"/>
      <name val="等线"/>
      <charset val="134"/>
      <scheme val="minor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8"/>
      <name val="宋体"/>
      <charset val="134"/>
    </font>
    <font>
      <sz val="12"/>
      <name val="宋体"/>
      <charset val="134"/>
    </font>
    <font>
      <b/>
      <sz val="11"/>
      <color rgb="FFFF0000"/>
      <name val="等线"/>
      <charset val="134"/>
      <scheme val="minor"/>
    </font>
    <font>
      <sz val="12"/>
      <color rgb="FFFF0000"/>
      <name val="宋体"/>
      <charset val="134"/>
    </font>
    <font>
      <sz val="11"/>
      <color rgb="FFFF0000"/>
      <name val="等线"/>
      <charset val="134"/>
      <scheme val="minor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8" borderId="14" applyNumberFormat="0" applyAlignment="0" applyProtection="0">
      <alignment vertical="center"/>
    </xf>
    <xf numFmtId="0" fontId="27" fillId="8" borderId="13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159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14" fontId="6" fillId="0" borderId="1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14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" fontId="0" fillId="0" borderId="1" xfId="0" applyNumberFormat="1" applyBorder="1" applyAlignment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0" xfId="0" applyNumberFormat="1"/>
    <xf numFmtId="177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177" fontId="0" fillId="0" borderId="0" xfId="0" applyNumberFormat="1" applyAlignment="1">
      <alignment horizontal="right"/>
    </xf>
    <xf numFmtId="14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78" fontId="12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vertical="center"/>
    </xf>
    <xf numFmtId="0" fontId="13" fillId="0" borderId="1" xfId="0" applyFont="1" applyBorder="1"/>
    <xf numFmtId="14" fontId="3" fillId="0" borderId="1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vertical="center"/>
    </xf>
    <xf numFmtId="0" fontId="6" fillId="0" borderId="0" xfId="0" applyFont="1"/>
    <xf numFmtId="176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176" fontId="12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4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11" fillId="0" borderId="8" xfId="0" applyFont="1" applyBorder="1" applyAlignment="1">
      <alignment horizontal="right" vertical="center"/>
    </xf>
    <xf numFmtId="0" fontId="11" fillId="0" borderId="8" xfId="0" applyFont="1" applyBorder="1" applyAlignment="1">
      <alignment vertical="center"/>
    </xf>
    <xf numFmtId="176" fontId="0" fillId="0" borderId="8" xfId="0" applyNumberFormat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78" fontId="3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4" fontId="11" fillId="0" borderId="8" xfId="0" applyNumberFormat="1" applyFon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176" fontId="12" fillId="0" borderId="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center" vertical="top"/>
    </xf>
    <xf numFmtId="14" fontId="2" fillId="0" borderId="1" xfId="0" applyNumberFormat="1" applyFont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178" fontId="10" fillId="0" borderId="1" xfId="0" applyNumberFormat="1" applyFont="1" applyBorder="1" applyAlignment="1">
      <alignment horizontal="center" vertical="top"/>
    </xf>
    <xf numFmtId="177" fontId="0" fillId="0" borderId="1" xfId="0" applyNumberFormat="1" applyBorder="1"/>
    <xf numFmtId="177" fontId="10" fillId="0" borderId="1" xfId="0" applyNumberFormat="1" applyFont="1" applyBorder="1" applyAlignment="1">
      <alignment horizontal="center" vertical="top"/>
    </xf>
    <xf numFmtId="176" fontId="10" fillId="0" borderId="1" xfId="0" applyNumberFormat="1" applyFont="1" applyBorder="1" applyAlignment="1">
      <alignment horizontal="center" vertical="top"/>
    </xf>
    <xf numFmtId="177" fontId="0" fillId="0" borderId="1" xfId="0" applyNumberForma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4" fontId="0" fillId="0" borderId="0" xfId="0" applyNumberFormat="1" applyBorder="1" applyAlignment="1">
      <alignment vertical="center"/>
    </xf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center" vertical="center"/>
    </xf>
    <xf numFmtId="0" fontId="15" fillId="0" borderId="0" xfId="0" applyFont="1"/>
    <xf numFmtId="176" fontId="12" fillId="0" borderId="1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vertical="center"/>
    </xf>
    <xf numFmtId="176" fontId="7" fillId="0" borderId="0" xfId="0" applyNumberFormat="1" applyFont="1" applyAlignment="1">
      <alignment horizontal="center" vertical="center"/>
    </xf>
    <xf numFmtId="0" fontId="0" fillId="0" borderId="4" xfId="0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179" fontId="0" fillId="0" borderId="1" xfId="0" applyNumberFormat="1" applyBorder="1"/>
    <xf numFmtId="0" fontId="0" fillId="0" borderId="1" xfId="0" applyNumberFormat="1" applyBorder="1"/>
    <xf numFmtId="0" fontId="14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0" fillId="0" borderId="9" xfId="0" applyBorder="1"/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horizontal="center"/>
    </xf>
    <xf numFmtId="176" fontId="7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vertical="center"/>
    </xf>
    <xf numFmtId="0" fontId="0" fillId="4" borderId="0" xfId="0" applyFill="1"/>
    <xf numFmtId="0" fontId="12" fillId="0" borderId="1" xfId="0" applyFont="1" applyBorder="1" applyAlignment="1">
      <alignment horizontal="left" vertical="center"/>
    </xf>
    <xf numFmtId="14" fontId="8" fillId="4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right"/>
    </xf>
    <xf numFmtId="0" fontId="0" fillId="4" borderId="1" xfId="0" applyFill="1" applyBorder="1"/>
    <xf numFmtId="178" fontId="0" fillId="0" borderId="1" xfId="0" applyNumberFormat="1" applyBorder="1" applyAlignment="1">
      <alignment vertical="center"/>
    </xf>
    <xf numFmtId="178" fontId="12" fillId="0" borderId="1" xfId="0" applyNumberFormat="1" applyFont="1" applyBorder="1" applyAlignment="1">
      <alignment vertical="center"/>
    </xf>
    <xf numFmtId="178" fontId="0" fillId="0" borderId="0" xfId="0" applyNumberFormat="1" applyAlignment="1">
      <alignment horizontal="center" vertical="center"/>
    </xf>
    <xf numFmtId="14" fontId="8" fillId="4" borderId="0" xfId="0" applyNumberFormat="1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0" fillId="0" borderId="1" xfId="0" applyFill="1" applyBorder="1"/>
    <xf numFmtId="4" fontId="3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4" fontId="7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13" fillId="0" borderId="0" xfId="0" applyFont="1"/>
    <xf numFmtId="0" fontId="16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0" fillId="0" borderId="0" xfId="0" applyNumberFormat="1"/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7" fontId="7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eetMetadata" Target="metadata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topLeftCell="A46" workbookViewId="0">
      <selection activeCell="R64" sqref="R64"/>
    </sheetView>
  </sheetViews>
  <sheetFormatPr defaultColWidth="9" defaultRowHeight="14.25"/>
  <cols>
    <col min="1" max="1" width="9.73333333333333" customWidth="1"/>
    <col min="2" max="2" width="10.8" customWidth="1"/>
  </cols>
  <sheetData>
    <row r="1" ht="18.75" spans="1:8">
      <c r="A1" s="150" t="s">
        <v>0</v>
      </c>
      <c r="B1" s="151" t="s">
        <v>1</v>
      </c>
      <c r="C1" s="152"/>
      <c r="D1" s="153"/>
      <c r="E1" s="26" t="s">
        <v>2</v>
      </c>
      <c r="F1" s="13"/>
      <c r="G1" s="13"/>
      <c r="H1" s="154"/>
    </row>
    <row r="2" spans="1:13">
      <c r="A2" s="155" t="s">
        <v>3</v>
      </c>
      <c r="B2" s="156" t="s">
        <v>4</v>
      </c>
      <c r="C2" s="157" t="s">
        <v>5</v>
      </c>
      <c r="D2" s="156" t="s">
        <v>6</v>
      </c>
      <c r="E2" s="155" t="s">
        <v>7</v>
      </c>
      <c r="F2" s="156" t="s">
        <v>8</v>
      </c>
      <c r="G2" s="156" t="s">
        <v>9</v>
      </c>
      <c r="H2" s="154"/>
      <c r="L2" t="str" cm="1">
        <f t="array" ref="L2:L57">_xlfn.TOCOL(A2:G9)</f>
        <v>粤V37731</v>
      </c>
      <c r="M2" t="s">
        <v>3</v>
      </c>
    </row>
    <row r="3" spans="1:13">
      <c r="A3" s="155" t="s">
        <v>10</v>
      </c>
      <c r="B3" s="156" t="s">
        <v>11</v>
      </c>
      <c r="C3" s="156" t="s">
        <v>12</v>
      </c>
      <c r="D3" s="156" t="s">
        <v>13</v>
      </c>
      <c r="E3" s="156" t="s">
        <v>14</v>
      </c>
      <c r="F3" s="156" t="s">
        <v>15</v>
      </c>
      <c r="G3" s="156" t="s">
        <v>16</v>
      </c>
      <c r="H3" s="154"/>
      <c r="L3" t="str">
        <v>粤VX2081</v>
      </c>
      <c r="M3" t="s">
        <v>4</v>
      </c>
    </row>
    <row r="4" spans="1:13">
      <c r="A4" s="155" t="s">
        <v>17</v>
      </c>
      <c r="B4" s="156" t="s">
        <v>18</v>
      </c>
      <c r="C4" s="157" t="s">
        <v>19</v>
      </c>
      <c r="D4" s="156" t="s">
        <v>20</v>
      </c>
      <c r="E4" s="156" t="s">
        <v>21</v>
      </c>
      <c r="F4" s="156" t="s">
        <v>22</v>
      </c>
      <c r="G4" s="157" t="s">
        <v>23</v>
      </c>
      <c r="H4" s="154"/>
      <c r="L4" t="str">
        <v>粤VX1739</v>
      </c>
      <c r="M4" t="s">
        <v>5</v>
      </c>
    </row>
    <row r="5" spans="1:13">
      <c r="A5" s="156" t="s">
        <v>24</v>
      </c>
      <c r="B5" s="157" t="s">
        <v>25</v>
      </c>
      <c r="C5" s="157" t="s">
        <v>26</v>
      </c>
      <c r="D5" s="157" t="s">
        <v>27</v>
      </c>
      <c r="E5" s="157" t="s">
        <v>28</v>
      </c>
      <c r="F5" s="157" t="s">
        <v>29</v>
      </c>
      <c r="G5" s="13" t="s">
        <v>30</v>
      </c>
      <c r="H5" s="154"/>
      <c r="L5" t="str">
        <v>粤VN8296</v>
      </c>
      <c r="M5" t="s">
        <v>6</v>
      </c>
    </row>
    <row r="6" spans="1:13">
      <c r="A6" s="156" t="s">
        <v>31</v>
      </c>
      <c r="B6" s="157" t="s">
        <v>32</v>
      </c>
      <c r="C6" s="155" t="s">
        <v>33</v>
      </c>
      <c r="D6" s="155" t="s">
        <v>34</v>
      </c>
      <c r="E6" s="8"/>
      <c r="F6" s="8"/>
      <c r="G6" s="13"/>
      <c r="H6" s="154"/>
      <c r="L6" t="str">
        <v>粤VR0563</v>
      </c>
      <c r="M6" t="s">
        <v>7</v>
      </c>
    </row>
    <row r="7" spans="1:13">
      <c r="A7" s="13"/>
      <c r="B7" s="8"/>
      <c r="C7" s="8"/>
      <c r="D7" s="8"/>
      <c r="E7" s="8"/>
      <c r="F7" s="8"/>
      <c r="G7" s="156"/>
      <c r="H7" s="154"/>
      <c r="L7" t="str">
        <v>粤VW0056</v>
      </c>
      <c r="M7" t="s">
        <v>8</v>
      </c>
    </row>
    <row r="8" spans="1:13">
      <c r="A8" s="8"/>
      <c r="B8" s="8"/>
      <c r="C8" s="8"/>
      <c r="D8" s="8"/>
      <c r="E8" s="8"/>
      <c r="F8" s="8"/>
      <c r="G8" s="8"/>
      <c r="H8" s="154"/>
      <c r="L8" t="str">
        <v>粤VM7980</v>
      </c>
      <c r="M8" t="s">
        <v>9</v>
      </c>
    </row>
    <row r="9" spans="1:13">
      <c r="A9" s="17"/>
      <c r="B9" s="17"/>
      <c r="C9" s="17"/>
      <c r="D9" s="17"/>
      <c r="E9" s="17"/>
      <c r="F9" s="17"/>
      <c r="G9" s="17"/>
      <c r="H9" s="158"/>
      <c r="L9" t="str">
        <v>赣C1173Z</v>
      </c>
      <c r="M9" t="s">
        <v>10</v>
      </c>
    </row>
    <row r="10" spans="1:13">
      <c r="A10" s="65"/>
      <c r="B10" s="65"/>
      <c r="C10" s="65"/>
      <c r="D10" s="65"/>
      <c r="E10" s="65"/>
      <c r="F10" s="65"/>
      <c r="G10" s="65"/>
      <c r="H10" s="158"/>
      <c r="L10" t="str">
        <v>粤VN3451</v>
      </c>
      <c r="M10" t="s">
        <v>11</v>
      </c>
    </row>
    <row r="11" spans="1:13">
      <c r="A11" s="17" t="s">
        <v>35</v>
      </c>
      <c r="B11" s="17" t="s">
        <v>36</v>
      </c>
      <c r="C11" s="17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02" t="s">
        <v>40</v>
      </c>
      <c r="L11" t="str">
        <v>粤VQ2203</v>
      </c>
      <c r="M11" t="s">
        <v>12</v>
      </c>
    </row>
    <row r="12" spans="1:13">
      <c r="A12" s="22">
        <v>45923</v>
      </c>
      <c r="B12" s="23" t="s">
        <v>41</v>
      </c>
      <c r="C12" s="23">
        <v>145</v>
      </c>
      <c r="D12" s="19" t="str">
        <f t="shared" ref="D12:D16" si="0">IF(C12&gt;=200,"5.75",IF(C12&lt;200,"5.95"))</f>
        <v>5.95</v>
      </c>
      <c r="E12" s="8">
        <f t="shared" ref="E12:E17" si="1">INT(C12*D12)</f>
        <v>862</v>
      </c>
      <c r="L12" t="str">
        <v>粤VY5201</v>
      </c>
      <c r="M12" t="s">
        <v>13</v>
      </c>
    </row>
    <row r="13" spans="1:13">
      <c r="A13" s="22">
        <v>45923</v>
      </c>
      <c r="B13" s="23" t="s">
        <v>42</v>
      </c>
      <c r="C13" s="23">
        <v>61.8</v>
      </c>
      <c r="D13" s="19" t="str">
        <f t="shared" si="0"/>
        <v>5.95</v>
      </c>
      <c r="E13" s="8">
        <f t="shared" si="1"/>
        <v>367</v>
      </c>
      <c r="L13" t="str">
        <v>粤V82N55</v>
      </c>
      <c r="M13" t="s">
        <v>14</v>
      </c>
    </row>
    <row r="14" spans="1:13">
      <c r="A14" s="22">
        <v>45924</v>
      </c>
      <c r="B14" s="23" t="s">
        <v>43</v>
      </c>
      <c r="C14" s="23">
        <v>44.38</v>
      </c>
      <c r="D14" s="19" t="str">
        <f t="shared" si="0"/>
        <v>5.95</v>
      </c>
      <c r="E14" s="8">
        <f t="shared" si="1"/>
        <v>264</v>
      </c>
      <c r="L14" t="str">
        <v>粤VA7245</v>
      </c>
      <c r="M14" t="s">
        <v>15</v>
      </c>
    </row>
    <row r="15" spans="1:13">
      <c r="A15" s="22">
        <v>45924</v>
      </c>
      <c r="B15" s="23" t="s">
        <v>44</v>
      </c>
      <c r="C15" s="23">
        <v>81.3</v>
      </c>
      <c r="D15" s="19" t="str">
        <f t="shared" si="0"/>
        <v>5.95</v>
      </c>
      <c r="E15" s="8">
        <f t="shared" si="1"/>
        <v>483</v>
      </c>
      <c r="L15" t="str">
        <v>赣C6653W</v>
      </c>
      <c r="M15" t="s">
        <v>16</v>
      </c>
    </row>
    <row r="16" spans="1:13">
      <c r="A16" s="22">
        <v>45924</v>
      </c>
      <c r="B16" s="23" t="s">
        <v>45</v>
      </c>
      <c r="C16" s="23">
        <v>76.93</v>
      </c>
      <c r="D16" s="19" t="str">
        <f t="shared" si="0"/>
        <v>5.95</v>
      </c>
      <c r="E16" s="8">
        <f t="shared" si="1"/>
        <v>457</v>
      </c>
      <c r="L16" t="str">
        <v>粤UQ3507</v>
      </c>
      <c r="M16" t="s">
        <v>17</v>
      </c>
    </row>
    <row r="17" spans="1:13">
      <c r="A17" s="22">
        <v>45926</v>
      </c>
      <c r="B17" s="23" t="s">
        <v>46</v>
      </c>
      <c r="C17" s="23">
        <v>120</v>
      </c>
      <c r="D17" s="19" t="str">
        <f>IF(C17&gt;=200,"5.85",IF(C17&lt;200,"5.95"))</f>
        <v>5.95</v>
      </c>
      <c r="E17" s="8">
        <f t="shared" si="1"/>
        <v>714</v>
      </c>
      <c r="L17" t="str">
        <v>粤MJ8298</v>
      </c>
      <c r="M17" t="s">
        <v>18</v>
      </c>
    </row>
    <row r="18" spans="1:13">
      <c r="A18" s="22">
        <v>45926</v>
      </c>
      <c r="B18" s="23" t="s">
        <v>47</v>
      </c>
      <c r="C18" s="23">
        <v>63.55</v>
      </c>
      <c r="D18" s="19" t="str">
        <f t="shared" ref="D18:D25" si="2">IF(C18&gt;=200,"5.85",IF(C18&lt;200,"5.95"))</f>
        <v>5.95</v>
      </c>
      <c r="E18" s="8">
        <f t="shared" ref="E18:E25" si="3">INT(C18*D18)</f>
        <v>378</v>
      </c>
      <c r="L18" t="str">
        <v>粤VV2703</v>
      </c>
      <c r="M18" t="s">
        <v>19</v>
      </c>
    </row>
    <row r="19" spans="1:13">
      <c r="A19" s="22">
        <v>45926</v>
      </c>
      <c r="B19" s="23" t="s">
        <v>48</v>
      </c>
      <c r="C19" s="23">
        <v>114.06</v>
      </c>
      <c r="D19" s="19" t="str">
        <f t="shared" si="2"/>
        <v>5.95</v>
      </c>
      <c r="E19" s="8">
        <f t="shared" si="3"/>
        <v>678</v>
      </c>
      <c r="L19" t="str">
        <v>赣D96798</v>
      </c>
      <c r="M19" t="s">
        <v>20</v>
      </c>
    </row>
    <row r="20" spans="1:13">
      <c r="A20" s="22">
        <v>45927</v>
      </c>
      <c r="B20" s="23" t="s">
        <v>49</v>
      </c>
      <c r="C20" s="23">
        <v>122.79</v>
      </c>
      <c r="D20" s="19" t="str">
        <f t="shared" si="2"/>
        <v>5.95</v>
      </c>
      <c r="E20" s="8">
        <f t="shared" si="3"/>
        <v>730</v>
      </c>
      <c r="L20" t="str">
        <v>粤VD4137</v>
      </c>
      <c r="M20" t="s">
        <v>21</v>
      </c>
    </row>
    <row r="21" spans="1:13">
      <c r="A21" s="22">
        <v>45927</v>
      </c>
      <c r="B21" s="23" t="s">
        <v>50</v>
      </c>
      <c r="C21" s="23">
        <v>115</v>
      </c>
      <c r="D21" s="19" t="str">
        <f t="shared" si="2"/>
        <v>5.95</v>
      </c>
      <c r="E21" s="8">
        <f t="shared" si="3"/>
        <v>684</v>
      </c>
      <c r="L21" t="str">
        <v>粤VL1702</v>
      </c>
      <c r="M21" t="s">
        <v>22</v>
      </c>
    </row>
    <row r="22" spans="1:13">
      <c r="A22" s="22">
        <v>45927</v>
      </c>
      <c r="B22" s="23" t="s">
        <v>51</v>
      </c>
      <c r="C22" s="23">
        <v>88.47</v>
      </c>
      <c r="D22" s="19" t="str">
        <f t="shared" si="2"/>
        <v>5.95</v>
      </c>
      <c r="E22" s="8">
        <f t="shared" si="3"/>
        <v>526</v>
      </c>
      <c r="L22" t="str">
        <v>粤VS8482</v>
      </c>
      <c r="M22" t="s">
        <v>23</v>
      </c>
    </row>
    <row r="23" spans="1:13">
      <c r="A23" s="22">
        <v>45927</v>
      </c>
      <c r="B23" s="23" t="s">
        <v>52</v>
      </c>
      <c r="C23" s="23">
        <v>28.58</v>
      </c>
      <c r="D23" s="19" t="str">
        <f t="shared" si="2"/>
        <v>5.95</v>
      </c>
      <c r="E23" s="8">
        <f t="shared" si="3"/>
        <v>170</v>
      </c>
      <c r="L23" t="str">
        <v>粤V62762</v>
      </c>
      <c r="M23" t="s">
        <v>24</v>
      </c>
    </row>
    <row r="24" spans="1:13">
      <c r="A24" s="22">
        <v>45927</v>
      </c>
      <c r="B24" s="23" t="s">
        <v>53</v>
      </c>
      <c r="C24" s="23">
        <v>59.19</v>
      </c>
      <c r="D24" s="19" t="str">
        <f t="shared" si="2"/>
        <v>5.95</v>
      </c>
      <c r="E24" s="8">
        <f t="shared" si="3"/>
        <v>352</v>
      </c>
      <c r="L24" t="str">
        <v>粤V34123</v>
      </c>
      <c r="M24" t="s">
        <v>25</v>
      </c>
    </row>
    <row r="25" s="129" customFormat="1" spans="1:13">
      <c r="A25" s="131">
        <v>45928</v>
      </c>
      <c r="B25" s="132" t="s">
        <v>54</v>
      </c>
      <c r="C25" s="132">
        <v>129</v>
      </c>
      <c r="D25" s="133" t="str">
        <f t="shared" si="2"/>
        <v>5.95</v>
      </c>
      <c r="E25" s="134">
        <f t="shared" si="3"/>
        <v>767</v>
      </c>
      <c r="L25" s="129" t="str">
        <v>粤VLK398</v>
      </c>
      <c r="M25" s="129" t="s">
        <v>26</v>
      </c>
    </row>
    <row r="26" s="129" customFormat="1" ht="11.25" customHeight="1" spans="1:13">
      <c r="A26" s="131"/>
      <c r="B26" s="132"/>
      <c r="C26" s="132"/>
      <c r="D26" s="133"/>
      <c r="E26" s="134"/>
      <c r="L26" s="129" t="str">
        <v>粤VQ2850</v>
      </c>
      <c r="M26" s="129" t="s">
        <v>27</v>
      </c>
    </row>
    <row r="27" ht="12.85" customHeight="1" spans="1:13">
      <c r="A27" s="22">
        <v>45929</v>
      </c>
      <c r="B27" s="23" t="s">
        <v>55</v>
      </c>
      <c r="C27" s="23">
        <v>67.54</v>
      </c>
      <c r="D27" s="19" t="str">
        <f t="shared" ref="D27:D37" si="4">IF(C27&gt;=200,"5.85",IF(C27&lt;200,"5.95"))</f>
        <v>5.95</v>
      </c>
      <c r="E27" s="8">
        <f t="shared" ref="E27:E37" si="5">INT(C27*D27)</f>
        <v>401</v>
      </c>
      <c r="L27" t="str">
        <v>粤V90897</v>
      </c>
      <c r="M27" t="s">
        <v>28</v>
      </c>
    </row>
    <row r="28" spans="1:13">
      <c r="A28" s="22">
        <v>45929</v>
      </c>
      <c r="B28" s="23" t="s">
        <v>56</v>
      </c>
      <c r="C28" s="23">
        <v>50.75</v>
      </c>
      <c r="D28" s="19" t="str">
        <f t="shared" si="4"/>
        <v>5.95</v>
      </c>
      <c r="E28" s="8">
        <f t="shared" si="5"/>
        <v>301</v>
      </c>
      <c r="L28" t="str">
        <v>粤VQ4140</v>
      </c>
      <c r="M28" t="s">
        <v>29</v>
      </c>
    </row>
    <row r="29" spans="1:13">
      <c r="A29" s="22">
        <v>45929</v>
      </c>
      <c r="B29" s="23" t="s">
        <v>57</v>
      </c>
      <c r="C29" s="23">
        <v>272.01</v>
      </c>
      <c r="D29" s="19" t="str">
        <f t="shared" si="4"/>
        <v>5.85</v>
      </c>
      <c r="E29" s="8">
        <f t="shared" si="5"/>
        <v>1591</v>
      </c>
      <c r="L29" t="str">
        <v>粤VUS125</v>
      </c>
      <c r="M29" t="s">
        <v>30</v>
      </c>
    </row>
    <row r="30" spans="1:13">
      <c r="A30" s="22">
        <v>45930</v>
      </c>
      <c r="B30" s="23" t="s">
        <v>49</v>
      </c>
      <c r="C30" s="23">
        <v>128.259</v>
      </c>
      <c r="D30" s="19" t="str">
        <f t="shared" si="4"/>
        <v>5.95</v>
      </c>
      <c r="E30" s="8">
        <f t="shared" si="5"/>
        <v>763</v>
      </c>
      <c r="L30" t="str">
        <v>粤V6583D</v>
      </c>
      <c r="M30" t="s">
        <v>31</v>
      </c>
    </row>
    <row r="31" spans="1:13">
      <c r="A31" s="22">
        <v>45930</v>
      </c>
      <c r="B31" s="23" t="s">
        <v>58</v>
      </c>
      <c r="C31" s="23">
        <v>90.76</v>
      </c>
      <c r="D31" s="19" t="str">
        <f t="shared" si="4"/>
        <v>5.95</v>
      </c>
      <c r="E31" s="8">
        <f t="shared" si="5"/>
        <v>540</v>
      </c>
      <c r="L31" t="str">
        <v>粤V55W71</v>
      </c>
      <c r="M31" t="s">
        <v>32</v>
      </c>
    </row>
    <row r="32" spans="1:13">
      <c r="A32" s="22">
        <v>45930</v>
      </c>
      <c r="B32" s="23" t="s">
        <v>41</v>
      </c>
      <c r="C32" s="23">
        <v>166.46</v>
      </c>
      <c r="D32" s="19" t="str">
        <f t="shared" si="4"/>
        <v>5.95</v>
      </c>
      <c r="E32" s="8">
        <f t="shared" si="5"/>
        <v>990</v>
      </c>
      <c r="L32" t="str">
        <v>粤V07U15</v>
      </c>
      <c r="M32" t="s">
        <v>33</v>
      </c>
    </row>
    <row r="33" spans="1:13">
      <c r="A33" s="22">
        <v>45931</v>
      </c>
      <c r="B33" s="23" t="s">
        <v>44</v>
      </c>
      <c r="C33" s="23">
        <v>69.31</v>
      </c>
      <c r="D33" s="19" t="str">
        <f t="shared" si="4"/>
        <v>5.95</v>
      </c>
      <c r="E33" s="8">
        <f t="shared" si="5"/>
        <v>412</v>
      </c>
      <c r="L33" t="str">
        <v>粤V0Q999</v>
      </c>
      <c r="M33" t="s">
        <v>34</v>
      </c>
    </row>
    <row r="34" spans="1:12">
      <c r="A34" s="22">
        <v>45931</v>
      </c>
      <c r="B34" s="23" t="s">
        <v>46</v>
      </c>
      <c r="C34" s="23">
        <v>154</v>
      </c>
      <c r="D34" s="19" t="str">
        <f t="shared" si="4"/>
        <v>5.95</v>
      </c>
      <c r="E34" s="8">
        <f t="shared" si="5"/>
        <v>916</v>
      </c>
      <c r="L34">
        <v>0</v>
      </c>
    </row>
    <row r="35" spans="1:12">
      <c r="A35" s="22">
        <v>45931</v>
      </c>
      <c r="B35" s="23" t="s">
        <v>41</v>
      </c>
      <c r="C35" s="23">
        <v>130.32</v>
      </c>
      <c r="D35" s="19" t="str">
        <f t="shared" si="4"/>
        <v>5.95</v>
      </c>
      <c r="E35" s="8">
        <f t="shared" si="5"/>
        <v>775</v>
      </c>
      <c r="L35">
        <v>0</v>
      </c>
    </row>
    <row r="36" spans="1:12">
      <c r="A36" s="22">
        <v>45931</v>
      </c>
      <c r="B36" s="23" t="s">
        <v>50</v>
      </c>
      <c r="C36" s="23">
        <v>114</v>
      </c>
      <c r="D36" s="19" t="str">
        <f t="shared" si="4"/>
        <v>5.95</v>
      </c>
      <c r="E36" s="8">
        <f t="shared" si="5"/>
        <v>678</v>
      </c>
      <c r="L36">
        <v>0</v>
      </c>
    </row>
    <row r="37" spans="1:12">
      <c r="A37" s="22">
        <v>45931</v>
      </c>
      <c r="B37" s="23" t="s">
        <v>45</v>
      </c>
      <c r="C37" s="23">
        <v>45.59</v>
      </c>
      <c r="D37" s="19" t="str">
        <f t="shared" si="4"/>
        <v>5.95</v>
      </c>
      <c r="E37" s="8">
        <f t="shared" si="5"/>
        <v>271</v>
      </c>
      <c r="L37">
        <v>0</v>
      </c>
    </row>
    <row r="38" spans="1:12">
      <c r="A38" s="8"/>
      <c r="B38" s="8"/>
      <c r="C38" s="8"/>
      <c r="D38" s="19"/>
      <c r="E38" s="8"/>
      <c r="L38">
        <v>0</v>
      </c>
    </row>
    <row r="39" spans="1:12">
      <c r="A39" s="22">
        <v>45932</v>
      </c>
      <c r="B39" s="23" t="s">
        <v>47</v>
      </c>
      <c r="C39" s="23">
        <v>110</v>
      </c>
      <c r="D39" s="19" t="str">
        <f t="shared" ref="D38:D44" si="6">IF(C39&gt;=200,"5.85",IF(C39&lt;200,"5.95"))</f>
        <v>5.95</v>
      </c>
      <c r="E39" s="8">
        <f t="shared" ref="E38:E44" si="7">INT(C39*D39)</f>
        <v>654</v>
      </c>
      <c r="L39">
        <v>0</v>
      </c>
    </row>
    <row r="40" spans="1:12">
      <c r="A40" s="22">
        <v>45933</v>
      </c>
      <c r="B40" s="23" t="s">
        <v>53</v>
      </c>
      <c r="C40" s="23">
        <v>65.36</v>
      </c>
      <c r="D40" s="19" t="str">
        <f t="shared" si="6"/>
        <v>5.95</v>
      </c>
      <c r="E40" s="8">
        <f t="shared" si="7"/>
        <v>388</v>
      </c>
      <c r="L40">
        <v>0</v>
      </c>
    </row>
    <row r="41" spans="1:12">
      <c r="A41" s="22">
        <v>45933</v>
      </c>
      <c r="B41" s="23" t="s">
        <v>59</v>
      </c>
      <c r="C41" s="23">
        <v>163.77</v>
      </c>
      <c r="D41" s="19" t="str">
        <f t="shared" si="6"/>
        <v>5.95</v>
      </c>
      <c r="E41" s="8">
        <f t="shared" si="7"/>
        <v>974</v>
      </c>
      <c r="L41">
        <v>0</v>
      </c>
    </row>
    <row r="42" spans="1:12">
      <c r="A42" s="22">
        <v>45933</v>
      </c>
      <c r="B42" s="23" t="s">
        <v>58</v>
      </c>
      <c r="C42" s="23">
        <v>52.64</v>
      </c>
      <c r="D42" s="19" t="str">
        <f t="shared" si="6"/>
        <v>5.95</v>
      </c>
      <c r="E42" s="8">
        <f t="shared" si="7"/>
        <v>313</v>
      </c>
      <c r="L42">
        <v>0</v>
      </c>
    </row>
    <row r="43" spans="1:12">
      <c r="A43" s="22">
        <v>45933</v>
      </c>
      <c r="B43" s="23" t="s">
        <v>54</v>
      </c>
      <c r="C43" s="23">
        <v>123</v>
      </c>
      <c r="D43" s="19" t="str">
        <f t="shared" si="6"/>
        <v>5.95</v>
      </c>
      <c r="E43" s="8">
        <f t="shared" si="7"/>
        <v>731</v>
      </c>
      <c r="L43">
        <v>0</v>
      </c>
    </row>
    <row r="44" spans="1:12">
      <c r="A44" s="22">
        <v>45933</v>
      </c>
      <c r="B44" s="23" t="s">
        <v>57</v>
      </c>
      <c r="C44" s="23">
        <v>179.08</v>
      </c>
      <c r="D44" s="19" t="str">
        <f t="shared" si="6"/>
        <v>5.95</v>
      </c>
      <c r="E44" s="8">
        <f t="shared" si="7"/>
        <v>1065</v>
      </c>
      <c r="L44">
        <v>0</v>
      </c>
    </row>
    <row r="45" spans="4:12">
      <c r="D45" s="19"/>
      <c r="E45" s="8"/>
      <c r="L45">
        <v>0</v>
      </c>
    </row>
    <row r="46" spans="1:12">
      <c r="A46" s="22">
        <v>45935</v>
      </c>
      <c r="B46" s="23" t="s">
        <v>46</v>
      </c>
      <c r="C46" s="23">
        <v>154</v>
      </c>
      <c r="D46" s="19" t="str">
        <f t="shared" ref="D46:D66" si="8">IF(C46&gt;=200,"5.85",IF(C46&lt;200,"5.95"))</f>
        <v>5.95</v>
      </c>
      <c r="E46" s="8">
        <f t="shared" ref="E45:E78" si="9">INT(C46*D46)</f>
        <v>916</v>
      </c>
      <c r="L46">
        <v>0</v>
      </c>
    </row>
    <row r="47" spans="1:12">
      <c r="A47" s="22">
        <v>45935</v>
      </c>
      <c r="B47" s="23" t="s">
        <v>41</v>
      </c>
      <c r="C47" s="23">
        <v>151.06</v>
      </c>
      <c r="D47" s="19" t="str">
        <f t="shared" si="8"/>
        <v>5.95</v>
      </c>
      <c r="E47" s="8">
        <f t="shared" si="9"/>
        <v>898</v>
      </c>
      <c r="L47">
        <v>0</v>
      </c>
    </row>
    <row r="48" spans="1:12">
      <c r="A48" s="22">
        <v>45935</v>
      </c>
      <c r="B48" s="23" t="s">
        <v>49</v>
      </c>
      <c r="C48" s="23">
        <v>111</v>
      </c>
      <c r="D48" s="19" t="str">
        <f t="shared" si="8"/>
        <v>5.95</v>
      </c>
      <c r="E48" s="8">
        <f t="shared" si="9"/>
        <v>660</v>
      </c>
      <c r="L48">
        <v>0</v>
      </c>
    </row>
    <row r="49" spans="1:12">
      <c r="A49" s="22">
        <v>45936</v>
      </c>
      <c r="B49" s="23" t="s">
        <v>58</v>
      </c>
      <c r="C49" s="23">
        <v>91.14</v>
      </c>
      <c r="D49" s="19" t="str">
        <f t="shared" si="8"/>
        <v>5.95</v>
      </c>
      <c r="E49" s="8">
        <f t="shared" si="9"/>
        <v>542</v>
      </c>
      <c r="L49">
        <v>0</v>
      </c>
    </row>
    <row r="50" spans="1:12">
      <c r="A50" s="22">
        <v>45937</v>
      </c>
      <c r="B50" s="23" t="s">
        <v>50</v>
      </c>
      <c r="C50" s="23">
        <v>128.88</v>
      </c>
      <c r="D50" s="19" t="str">
        <f t="shared" si="8"/>
        <v>5.95</v>
      </c>
      <c r="E50" s="8">
        <f t="shared" si="9"/>
        <v>766</v>
      </c>
      <c r="L50">
        <v>0</v>
      </c>
    </row>
    <row r="51" spans="1:12">
      <c r="A51" s="22">
        <v>45937</v>
      </c>
      <c r="B51" s="23" t="s">
        <v>60</v>
      </c>
      <c r="C51" s="23">
        <v>188.6</v>
      </c>
      <c r="D51" s="19" t="str">
        <f t="shared" si="8"/>
        <v>5.95</v>
      </c>
      <c r="E51" s="8">
        <f t="shared" si="9"/>
        <v>1122</v>
      </c>
      <c r="L51">
        <v>0</v>
      </c>
    </row>
    <row r="52" spans="1:12">
      <c r="A52" s="22">
        <v>45937</v>
      </c>
      <c r="B52" s="23" t="s">
        <v>50</v>
      </c>
      <c r="C52" s="23">
        <v>54.38</v>
      </c>
      <c r="D52" s="19" t="str">
        <f t="shared" si="8"/>
        <v>5.95</v>
      </c>
      <c r="E52" s="8">
        <f t="shared" si="9"/>
        <v>323</v>
      </c>
      <c r="L52">
        <v>0</v>
      </c>
    </row>
    <row r="53" spans="1:12">
      <c r="A53" s="22">
        <v>45937</v>
      </c>
      <c r="B53" s="23" t="s">
        <v>47</v>
      </c>
      <c r="C53" s="23">
        <v>63.61</v>
      </c>
      <c r="D53" s="19" t="str">
        <f t="shared" si="8"/>
        <v>5.95</v>
      </c>
      <c r="E53" s="8">
        <f t="shared" si="9"/>
        <v>378</v>
      </c>
      <c r="L53">
        <v>0</v>
      </c>
    </row>
    <row r="54" spans="1:12">
      <c r="A54" s="22">
        <v>45937</v>
      </c>
      <c r="B54" s="23" t="s">
        <v>57</v>
      </c>
      <c r="C54" s="23">
        <v>138</v>
      </c>
      <c r="D54" s="19" t="str">
        <f t="shared" si="8"/>
        <v>5.95</v>
      </c>
      <c r="E54" s="8">
        <f t="shared" si="9"/>
        <v>821</v>
      </c>
      <c r="L54">
        <v>0</v>
      </c>
    </row>
    <row r="55" spans="1:12">
      <c r="A55" s="22">
        <v>45937</v>
      </c>
      <c r="B55" s="23" t="s">
        <v>61</v>
      </c>
      <c r="C55" s="23">
        <v>141</v>
      </c>
      <c r="D55" s="19" t="str">
        <f t="shared" si="8"/>
        <v>5.95</v>
      </c>
      <c r="E55" s="8">
        <f t="shared" si="9"/>
        <v>838</v>
      </c>
      <c r="L55">
        <v>0</v>
      </c>
    </row>
    <row r="56" spans="1:12">
      <c r="A56" s="22">
        <v>45938</v>
      </c>
      <c r="B56" s="23" t="s">
        <v>51</v>
      </c>
      <c r="C56" s="23">
        <v>104.82</v>
      </c>
      <c r="D56" s="19" t="str">
        <f t="shared" si="8"/>
        <v>5.95</v>
      </c>
      <c r="E56" s="8">
        <f t="shared" si="9"/>
        <v>623</v>
      </c>
      <c r="L56">
        <v>0</v>
      </c>
    </row>
    <row r="57" spans="1:12">
      <c r="A57" s="22">
        <v>45938</v>
      </c>
      <c r="B57" s="23" t="s">
        <v>45</v>
      </c>
      <c r="C57" s="23">
        <v>77</v>
      </c>
      <c r="D57" s="19" t="str">
        <f t="shared" si="8"/>
        <v>5.95</v>
      </c>
      <c r="E57" s="8">
        <f t="shared" si="9"/>
        <v>458</v>
      </c>
      <c r="L57">
        <v>0</v>
      </c>
    </row>
    <row r="58" spans="1:5">
      <c r="A58" s="22">
        <v>45938</v>
      </c>
      <c r="B58" s="23" t="s">
        <v>45</v>
      </c>
      <c r="C58" s="23">
        <v>39.35</v>
      </c>
      <c r="D58" s="19" t="str">
        <f t="shared" si="8"/>
        <v>5.95</v>
      </c>
      <c r="E58" s="8">
        <f t="shared" si="9"/>
        <v>234</v>
      </c>
    </row>
    <row r="59" spans="1:5">
      <c r="A59" s="22">
        <v>45938</v>
      </c>
      <c r="B59" s="23" t="s">
        <v>62</v>
      </c>
      <c r="C59" s="23">
        <v>150</v>
      </c>
      <c r="D59" s="19" t="str">
        <f t="shared" si="8"/>
        <v>5.95</v>
      </c>
      <c r="E59" s="8">
        <f t="shared" si="9"/>
        <v>892</v>
      </c>
    </row>
    <row r="60" spans="1:5">
      <c r="A60" s="22">
        <v>45938</v>
      </c>
      <c r="B60" s="23" t="s">
        <v>63</v>
      </c>
      <c r="C60" s="23">
        <v>131.85</v>
      </c>
      <c r="D60" s="19" t="str">
        <f t="shared" si="8"/>
        <v>5.95</v>
      </c>
      <c r="E60" s="8">
        <f t="shared" si="9"/>
        <v>784</v>
      </c>
    </row>
    <row r="61" spans="1:5">
      <c r="A61" s="22">
        <v>45939</v>
      </c>
      <c r="B61" s="23" t="s">
        <v>43</v>
      </c>
      <c r="C61" s="23">
        <v>44.38</v>
      </c>
      <c r="D61" s="19" t="str">
        <f t="shared" si="8"/>
        <v>5.95</v>
      </c>
      <c r="E61" s="8">
        <f t="shared" si="9"/>
        <v>264</v>
      </c>
    </row>
    <row r="62" spans="1:5">
      <c r="A62" s="22">
        <v>45939</v>
      </c>
      <c r="B62" s="23" t="s">
        <v>41</v>
      </c>
      <c r="C62" s="23">
        <v>128.71</v>
      </c>
      <c r="D62" s="19" t="str">
        <f t="shared" si="8"/>
        <v>5.95</v>
      </c>
      <c r="E62" s="8">
        <f t="shared" si="9"/>
        <v>765</v>
      </c>
    </row>
    <row r="63" spans="1:5">
      <c r="A63" s="22">
        <v>45939</v>
      </c>
      <c r="B63" s="23" t="s">
        <v>57</v>
      </c>
      <c r="C63" s="23">
        <v>164.81</v>
      </c>
      <c r="D63" s="19" t="str">
        <f t="shared" si="8"/>
        <v>5.95</v>
      </c>
      <c r="E63" s="8">
        <f t="shared" si="9"/>
        <v>980</v>
      </c>
    </row>
    <row r="64" spans="1:5">
      <c r="A64" s="22">
        <v>45940</v>
      </c>
      <c r="B64" s="23" t="s">
        <v>64</v>
      </c>
      <c r="C64" s="23">
        <v>120</v>
      </c>
      <c r="D64" s="19" t="str">
        <f t="shared" si="8"/>
        <v>5.95</v>
      </c>
      <c r="E64" s="8">
        <f t="shared" si="9"/>
        <v>714</v>
      </c>
    </row>
    <row r="65" spans="1:5">
      <c r="A65" s="22">
        <v>45940</v>
      </c>
      <c r="B65" s="23" t="s">
        <v>65</v>
      </c>
      <c r="C65" s="23">
        <v>149</v>
      </c>
      <c r="D65" s="19" t="str">
        <f t="shared" si="8"/>
        <v>5.95</v>
      </c>
      <c r="E65" s="8">
        <f t="shared" si="9"/>
        <v>886</v>
      </c>
    </row>
    <row r="66" spans="1:5">
      <c r="A66" s="22">
        <v>45940</v>
      </c>
      <c r="B66" s="23" t="s">
        <v>44</v>
      </c>
      <c r="C66" s="23">
        <v>76.61</v>
      </c>
      <c r="D66" s="19" t="str">
        <f t="shared" si="8"/>
        <v>5.95</v>
      </c>
      <c r="E66" s="8">
        <f t="shared" si="9"/>
        <v>455</v>
      </c>
    </row>
    <row r="67" spans="4:5">
      <c r="D67" s="19"/>
      <c r="E67" s="8">
        <f t="shared" si="9"/>
        <v>0</v>
      </c>
    </row>
    <row r="68" spans="1:5">
      <c r="A68" s="22">
        <v>45941</v>
      </c>
      <c r="B68" s="23" t="s">
        <v>8</v>
      </c>
      <c r="C68" s="23">
        <v>160</v>
      </c>
      <c r="D68" s="19" t="str">
        <f t="shared" ref="D68:D78" si="10">IF(C68&gt;=200,"5.75",IF(C68&lt;200,"5.95"))</f>
        <v>5.95</v>
      </c>
      <c r="E68" s="8">
        <f t="shared" si="9"/>
        <v>952</v>
      </c>
    </row>
    <row r="69" spans="1:5">
      <c r="A69" s="22">
        <v>45941</v>
      </c>
      <c r="B69" s="23" t="s">
        <v>14</v>
      </c>
      <c r="C69" s="23">
        <v>35.51</v>
      </c>
      <c r="D69" s="19" t="str">
        <f t="shared" si="10"/>
        <v>5.95</v>
      </c>
      <c r="E69" s="8">
        <f t="shared" si="9"/>
        <v>211</v>
      </c>
    </row>
    <row r="70" spans="1:5">
      <c r="A70" s="22">
        <v>45941</v>
      </c>
      <c r="B70" s="23" t="s">
        <v>27</v>
      </c>
      <c r="C70" s="23">
        <v>93.46</v>
      </c>
      <c r="D70" s="19" t="str">
        <f t="shared" si="10"/>
        <v>5.95</v>
      </c>
      <c r="E70" s="8">
        <f t="shared" si="9"/>
        <v>556</v>
      </c>
    </row>
    <row r="71" spans="1:5">
      <c r="A71" s="22">
        <v>45941</v>
      </c>
      <c r="B71" s="23" t="s">
        <v>12</v>
      </c>
      <c r="C71" s="23">
        <v>106</v>
      </c>
      <c r="D71" s="19" t="str">
        <f t="shared" si="10"/>
        <v>5.95</v>
      </c>
      <c r="E71" s="8">
        <f t="shared" si="9"/>
        <v>630</v>
      </c>
    </row>
    <row r="72" spans="1:5">
      <c r="A72" s="22">
        <v>45941</v>
      </c>
      <c r="B72" s="23" t="s">
        <v>16</v>
      </c>
      <c r="C72" s="23">
        <v>88.76</v>
      </c>
      <c r="D72" s="19" t="str">
        <f t="shared" si="10"/>
        <v>5.95</v>
      </c>
      <c r="E72" s="8">
        <f t="shared" si="9"/>
        <v>528</v>
      </c>
    </row>
    <row r="73" spans="1:5">
      <c r="A73" s="22">
        <v>45941</v>
      </c>
      <c r="B73" s="23" t="s">
        <v>33</v>
      </c>
      <c r="C73" s="23">
        <v>52.03</v>
      </c>
      <c r="D73" s="19" t="str">
        <f t="shared" si="10"/>
        <v>5.95</v>
      </c>
      <c r="E73" s="8">
        <f t="shared" si="9"/>
        <v>309</v>
      </c>
    </row>
    <row r="74" spans="1:5">
      <c r="A74" s="22">
        <v>45942</v>
      </c>
      <c r="B74" s="23" t="s">
        <v>18</v>
      </c>
      <c r="C74" s="23">
        <v>146</v>
      </c>
      <c r="D74" s="19" t="str">
        <f t="shared" si="10"/>
        <v>5.95</v>
      </c>
      <c r="E74" s="8">
        <f t="shared" si="9"/>
        <v>868</v>
      </c>
    </row>
    <row r="75" spans="1:5">
      <c r="A75" s="22">
        <v>45942</v>
      </c>
      <c r="B75" s="23" t="s">
        <v>25</v>
      </c>
      <c r="C75" s="23">
        <v>130.93</v>
      </c>
      <c r="D75" s="19" t="str">
        <f t="shared" si="10"/>
        <v>5.95</v>
      </c>
      <c r="E75" s="8">
        <f t="shared" si="9"/>
        <v>779</v>
      </c>
    </row>
    <row r="76" spans="1:5">
      <c r="A76" s="22">
        <v>45943</v>
      </c>
      <c r="B76" s="23" t="s">
        <v>13</v>
      </c>
      <c r="C76" s="23">
        <v>135.8</v>
      </c>
      <c r="D76" s="19" t="str">
        <f t="shared" si="10"/>
        <v>5.95</v>
      </c>
      <c r="E76" s="8">
        <f t="shared" si="9"/>
        <v>808</v>
      </c>
    </row>
    <row r="77" spans="1:5">
      <c r="A77" s="22">
        <v>45943</v>
      </c>
      <c r="B77" s="23" t="s">
        <v>23</v>
      </c>
      <c r="C77" s="23">
        <v>154.99</v>
      </c>
      <c r="D77" s="19" t="str">
        <f t="shared" si="10"/>
        <v>5.95</v>
      </c>
      <c r="E77" s="8">
        <f t="shared" si="9"/>
        <v>922</v>
      </c>
    </row>
    <row r="78" spans="1:5">
      <c r="A78" s="22">
        <v>45943</v>
      </c>
      <c r="B78" s="23" t="s">
        <v>25</v>
      </c>
      <c r="C78" s="23">
        <v>212</v>
      </c>
      <c r="D78" s="19" t="str">
        <f t="shared" si="10"/>
        <v>5.75</v>
      </c>
      <c r="E78" s="8">
        <f t="shared" si="9"/>
        <v>1219</v>
      </c>
    </row>
  </sheetData>
  <sortState ref="A68:E78">
    <sortCondition ref="A68"/>
  </sortState>
  <mergeCells count="1">
    <mergeCell ref="B1:D1"/>
  </mergeCells>
  <conditionalFormatting sqref="A11:H11">
    <cfRule type="expression" dxfId="0" priority="1">
      <formula>$A12&lt;&gt;""</formula>
    </cfRule>
  </conditionalFormatting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workbookViewId="0">
      <selection activeCell="G30" sqref="G30"/>
    </sheetView>
  </sheetViews>
  <sheetFormatPr defaultColWidth="9" defaultRowHeight="14.25"/>
  <cols>
    <col min="1" max="1" width="10" customWidth="1"/>
  </cols>
  <sheetData>
    <row r="1" ht="22.5" spans="1:10">
      <c r="A1" s="38" t="s">
        <v>0</v>
      </c>
      <c r="B1" s="146" t="s">
        <v>66</v>
      </c>
      <c r="C1" s="147"/>
      <c r="D1" s="76"/>
      <c r="E1" s="26" t="s">
        <v>2</v>
      </c>
      <c r="F1" s="6"/>
      <c r="G1" s="7"/>
      <c r="J1" s="149"/>
    </row>
    <row r="2" spans="1:14">
      <c r="A2" s="8" t="s">
        <v>67</v>
      </c>
      <c r="B2" s="8" t="s">
        <v>68</v>
      </c>
      <c r="C2" s="13" t="s">
        <v>69</v>
      </c>
      <c r="D2" s="8" t="s">
        <v>70</v>
      </c>
      <c r="E2" s="8" t="s">
        <v>71</v>
      </c>
      <c r="F2" s="8" t="s">
        <v>72</v>
      </c>
      <c r="G2" s="113" t="s">
        <v>73</v>
      </c>
      <c r="J2" s="6" t="s">
        <v>74</v>
      </c>
      <c r="K2" s="8"/>
      <c r="M2" t="str" cm="1">
        <f t="array" ref="M2:M57">_xlfn.TOCOL(A2:G9)</f>
        <v>粤VQ6290</v>
      </c>
      <c r="N2" t="s">
        <v>67</v>
      </c>
    </row>
    <row r="3" spans="1:14">
      <c r="A3" s="8" t="s">
        <v>75</v>
      </c>
      <c r="B3" s="8" t="s">
        <v>76</v>
      </c>
      <c r="C3" s="8" t="s">
        <v>77</v>
      </c>
      <c r="D3" s="8" t="s">
        <v>78</v>
      </c>
      <c r="E3" s="76" t="s">
        <v>79</v>
      </c>
      <c r="F3" s="13" t="s">
        <v>80</v>
      </c>
      <c r="G3" s="13"/>
      <c r="J3" s="8" t="s">
        <v>81</v>
      </c>
      <c r="K3" s="8"/>
      <c r="M3" t="str">
        <v>粤VAF892</v>
      </c>
      <c r="N3" t="s">
        <v>68</v>
      </c>
    </row>
    <row r="4" spans="1:14">
      <c r="A4" s="8"/>
      <c r="B4" s="8"/>
      <c r="C4" s="8"/>
      <c r="D4" s="8"/>
      <c r="E4" s="13"/>
      <c r="F4" s="13"/>
      <c r="G4" s="13"/>
      <c r="M4" t="str">
        <v>赣CA1338</v>
      </c>
      <c r="N4" t="s">
        <v>69</v>
      </c>
    </row>
    <row r="5" spans="1:14">
      <c r="A5" s="8"/>
      <c r="B5" s="8"/>
      <c r="C5" s="8"/>
      <c r="D5" s="8"/>
      <c r="E5" s="13"/>
      <c r="F5" s="13"/>
      <c r="G5" s="13"/>
      <c r="M5" t="str">
        <v>粤V695Q5</v>
      </c>
      <c r="N5" t="s">
        <v>70</v>
      </c>
    </row>
    <row r="6" spans="1:14">
      <c r="A6" s="13"/>
      <c r="B6" s="13"/>
      <c r="C6" s="15"/>
      <c r="D6" s="13"/>
      <c r="E6" s="13"/>
      <c r="F6" s="13"/>
      <c r="G6" s="13"/>
      <c r="M6" t="str">
        <v>粤VZ0668</v>
      </c>
      <c r="N6" t="s">
        <v>71</v>
      </c>
    </row>
    <row r="7" spans="1:14">
      <c r="A7" s="13"/>
      <c r="B7" s="13"/>
      <c r="C7" s="15"/>
      <c r="D7" s="13"/>
      <c r="E7" s="13"/>
      <c r="F7" s="13"/>
      <c r="G7" s="13"/>
      <c r="M7" t="str">
        <v>粤VP5526</v>
      </c>
      <c r="N7" t="s">
        <v>72</v>
      </c>
    </row>
    <row r="8" spans="1:14">
      <c r="A8" s="13"/>
      <c r="B8" s="13"/>
      <c r="C8" s="15"/>
      <c r="D8" s="13"/>
      <c r="E8" s="13"/>
      <c r="F8" s="13"/>
      <c r="G8" s="13"/>
      <c r="M8" t="str">
        <v>粤VS6571</v>
      </c>
      <c r="N8" t="s">
        <v>73</v>
      </c>
    </row>
    <row r="9" spans="1:14">
      <c r="A9" s="13"/>
      <c r="B9" s="13"/>
      <c r="C9" s="15"/>
      <c r="D9" s="13"/>
      <c r="E9" s="13"/>
      <c r="F9" s="13"/>
      <c r="G9" s="13"/>
      <c r="M9" t="str">
        <v>粤V9P969</v>
      </c>
      <c r="N9" t="s">
        <v>75</v>
      </c>
    </row>
    <row r="10" spans="13:14">
      <c r="M10" t="str">
        <v>粤V79697</v>
      </c>
      <c r="N10" t="s">
        <v>76</v>
      </c>
    </row>
    <row r="11" spans="1:14">
      <c r="A11" s="17" t="s">
        <v>35</v>
      </c>
      <c r="B11" s="17" t="s">
        <v>36</v>
      </c>
      <c r="C11" s="127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48" t="s">
        <v>40</v>
      </c>
      <c r="M11" t="str">
        <v>粤VA4769</v>
      </c>
      <c r="N11" t="s">
        <v>77</v>
      </c>
    </row>
    <row r="12" spans="1:14">
      <c r="A12" s="22">
        <v>45925</v>
      </c>
      <c r="B12" s="23" t="s">
        <v>82</v>
      </c>
      <c r="C12" s="23">
        <v>66.57</v>
      </c>
      <c r="D12" s="19" t="str">
        <f>IF(C12&gt;=200,"5.85",IF(C12&lt;200,"5.95"))</f>
        <v>5.95</v>
      </c>
      <c r="E12" s="8">
        <f t="shared" ref="E12:E14" si="0">INT(C12*D12)</f>
        <v>396</v>
      </c>
      <c r="F12" s="8"/>
      <c r="G12" s="8"/>
      <c r="H12" s="8"/>
      <c r="M12" t="str">
        <v>粤VX5710</v>
      </c>
      <c r="N12" t="s">
        <v>78</v>
      </c>
    </row>
    <row r="13" spans="1:14">
      <c r="A13" s="22">
        <v>45927</v>
      </c>
      <c r="B13" s="23" t="s">
        <v>83</v>
      </c>
      <c r="C13" s="23">
        <v>73.97</v>
      </c>
      <c r="D13" s="19" t="str">
        <f>IF(C13&gt;=200,"5.85",IF(C13&lt;200,"5.95"))</f>
        <v>5.95</v>
      </c>
      <c r="E13" s="8">
        <f t="shared" si="0"/>
        <v>440</v>
      </c>
      <c r="F13" s="8"/>
      <c r="G13" s="8"/>
      <c r="H13" s="8"/>
      <c r="M13" t="str">
        <v>粤V21146</v>
      </c>
      <c r="N13" t="s">
        <v>79</v>
      </c>
    </row>
    <row r="14" spans="1:14">
      <c r="A14" s="22">
        <v>45928</v>
      </c>
      <c r="B14" s="23" t="s">
        <v>84</v>
      </c>
      <c r="C14" s="23">
        <v>58</v>
      </c>
      <c r="D14" s="19" t="str">
        <f>IF(C14&gt;=200,"5.85",IF(C14&lt;200,"5.95"))</f>
        <v>5.95</v>
      </c>
      <c r="E14" s="8">
        <f t="shared" si="0"/>
        <v>345</v>
      </c>
      <c r="F14" s="8"/>
      <c r="G14" s="8"/>
      <c r="H14" s="8"/>
      <c r="M14" t="str">
        <v>机动084</v>
      </c>
      <c r="N14" t="s">
        <v>80</v>
      </c>
    </row>
    <row r="15" spans="1:13">
      <c r="A15" s="22"/>
      <c r="B15" s="23"/>
      <c r="C15" s="23"/>
      <c r="D15" s="19"/>
      <c r="E15" s="8"/>
      <c r="F15" s="8"/>
      <c r="G15" s="8"/>
      <c r="H15" s="8"/>
      <c r="M15">
        <v>0</v>
      </c>
    </row>
    <row r="16" spans="1:13">
      <c r="A16" s="22">
        <v>45929</v>
      </c>
      <c r="B16" s="23" t="s">
        <v>85</v>
      </c>
      <c r="C16" s="23">
        <v>424.85</v>
      </c>
      <c r="D16" s="19" t="str">
        <f t="shared" ref="D15:D21" si="1">IF(C16&gt;=200,"5.85",IF(C16&lt;200,"5.95"))</f>
        <v>5.85</v>
      </c>
      <c r="E16" s="8">
        <f t="shared" ref="E16:E21" si="2">INT(C16*D16)</f>
        <v>2485</v>
      </c>
      <c r="F16" s="8"/>
      <c r="G16" s="8"/>
      <c r="H16" s="8"/>
      <c r="M16">
        <v>0</v>
      </c>
    </row>
    <row r="17" spans="1:13">
      <c r="A17" s="22">
        <v>45929</v>
      </c>
      <c r="B17" s="23" t="s">
        <v>85</v>
      </c>
      <c r="C17" s="23">
        <v>419.6</v>
      </c>
      <c r="D17" s="19" t="str">
        <f t="shared" si="1"/>
        <v>5.85</v>
      </c>
      <c r="E17" s="8">
        <f t="shared" si="2"/>
        <v>2454</v>
      </c>
      <c r="F17" s="8"/>
      <c r="G17" s="8"/>
      <c r="H17" s="8"/>
      <c r="M17">
        <v>0</v>
      </c>
    </row>
    <row r="18" spans="1:13">
      <c r="A18" s="8"/>
      <c r="B18" s="8"/>
      <c r="C18" s="8"/>
      <c r="D18" s="19"/>
      <c r="E18" s="8"/>
      <c r="F18" s="8"/>
      <c r="G18" s="8"/>
      <c r="H18" s="8"/>
      <c r="M18">
        <v>0</v>
      </c>
    </row>
    <row r="19" spans="1:13">
      <c r="A19" s="22">
        <v>45932</v>
      </c>
      <c r="B19" s="23" t="s">
        <v>86</v>
      </c>
      <c r="C19" s="23">
        <v>61.1</v>
      </c>
      <c r="D19" s="19" t="str">
        <f t="shared" si="1"/>
        <v>5.95</v>
      </c>
      <c r="E19" s="8">
        <f t="shared" si="2"/>
        <v>363</v>
      </c>
      <c r="F19" s="8"/>
      <c r="G19" s="8"/>
      <c r="H19" s="8"/>
      <c r="M19">
        <v>0</v>
      </c>
    </row>
    <row r="20" spans="1:13">
      <c r="A20" s="22">
        <v>45934</v>
      </c>
      <c r="B20" s="23" t="s">
        <v>87</v>
      </c>
      <c r="C20" s="23">
        <v>157.24</v>
      </c>
      <c r="D20" s="19" t="str">
        <f t="shared" si="1"/>
        <v>5.95</v>
      </c>
      <c r="E20" s="8">
        <f t="shared" si="2"/>
        <v>935</v>
      </c>
      <c r="F20" s="8"/>
      <c r="G20" s="8"/>
      <c r="H20" s="8"/>
      <c r="M20">
        <v>0</v>
      </c>
    </row>
    <row r="21" spans="1:13">
      <c r="A21" s="22">
        <v>45934</v>
      </c>
      <c r="B21" s="23" t="s">
        <v>85</v>
      </c>
      <c r="C21" s="23">
        <v>645.66</v>
      </c>
      <c r="D21" s="19" t="str">
        <f t="shared" si="1"/>
        <v>5.85</v>
      </c>
      <c r="E21" s="140">
        <f t="shared" si="2"/>
        <v>3777</v>
      </c>
      <c r="F21" s="8"/>
      <c r="G21" s="8"/>
      <c r="H21" s="8"/>
      <c r="M21">
        <v>0</v>
      </c>
    </row>
    <row r="22" spans="1:13">
      <c r="A22" s="8"/>
      <c r="B22" s="8"/>
      <c r="C22" s="8"/>
      <c r="D22" s="19"/>
      <c r="E22" s="140"/>
      <c r="F22" s="8"/>
      <c r="G22" s="8"/>
      <c r="H22" s="8"/>
      <c r="M22">
        <v>0</v>
      </c>
    </row>
    <row r="23" spans="1:13">
      <c r="A23" s="22">
        <v>45936</v>
      </c>
      <c r="B23" s="23" t="s">
        <v>85</v>
      </c>
      <c r="C23" s="23">
        <v>1400</v>
      </c>
      <c r="D23" s="19" t="str">
        <f>IF(C23&gt;=200,"5.85",IF(C23&lt;200,"5.95"))</f>
        <v>5.85</v>
      </c>
      <c r="E23" s="140">
        <f>INT(C23*D23)</f>
        <v>8190</v>
      </c>
      <c r="F23" s="8"/>
      <c r="G23" s="8"/>
      <c r="H23" s="8"/>
      <c r="M23">
        <v>0</v>
      </c>
    </row>
    <row r="24" spans="1:13">
      <c r="A24" s="22">
        <v>45938</v>
      </c>
      <c r="B24" s="23" t="s">
        <v>85</v>
      </c>
      <c r="C24" s="23">
        <v>214.35</v>
      </c>
      <c r="D24" s="19" t="str">
        <f>IF(C24&gt;=200,"5.85",IF(C24&lt;200,"5.95"))</f>
        <v>5.85</v>
      </c>
      <c r="E24" s="140">
        <f>INT(C24*D24)</f>
        <v>1253</v>
      </c>
      <c r="F24" s="8"/>
      <c r="G24" s="8"/>
      <c r="H24" s="8"/>
      <c r="M24">
        <v>0</v>
      </c>
    </row>
    <row r="25" spans="1:13">
      <c r="A25" s="22">
        <v>45938</v>
      </c>
      <c r="B25" s="23" t="s">
        <v>82</v>
      </c>
      <c r="C25" s="23">
        <v>73.97</v>
      </c>
      <c r="D25" s="19" t="str">
        <f>IF(C25&gt;=200,"5.85",IF(C25&lt;200,"5.95"))</f>
        <v>5.95</v>
      </c>
      <c r="E25" s="140">
        <f>INT(C25*D25)</f>
        <v>440</v>
      </c>
      <c r="F25" s="8"/>
      <c r="G25" s="8"/>
      <c r="H25" s="8"/>
      <c r="M25">
        <v>0</v>
      </c>
    </row>
    <row r="26" spans="1:13">
      <c r="A26" s="22">
        <v>45940</v>
      </c>
      <c r="B26" s="23" t="s">
        <v>87</v>
      </c>
      <c r="C26" s="23">
        <v>157.24</v>
      </c>
      <c r="D26" s="19" t="str">
        <f>IF(C26&gt;=200,"5.85",IF(C26&lt;200,"5.95"))</f>
        <v>5.95</v>
      </c>
      <c r="E26" s="140">
        <f>INT(C26*D26)</f>
        <v>935</v>
      </c>
      <c r="M26">
        <v>0</v>
      </c>
    </row>
    <row r="27" spans="4:13">
      <c r="D27" s="19"/>
      <c r="E27" s="140">
        <f t="shared" ref="E27:E34" si="3">INT(C27*D27)</f>
        <v>0</v>
      </c>
      <c r="M27">
        <v>0</v>
      </c>
    </row>
    <row r="28" spans="1:13">
      <c r="A28" s="22">
        <v>45941</v>
      </c>
      <c r="B28" s="23" t="s">
        <v>68</v>
      </c>
      <c r="C28" s="23">
        <v>196.46</v>
      </c>
      <c r="D28" s="19" t="str">
        <f t="shared" ref="D28:D34" si="4">IF(C28&gt;=200,"5.75",IF(C28&lt;200,"5.95"))</f>
        <v>5.95</v>
      </c>
      <c r="E28" s="140">
        <f t="shared" si="3"/>
        <v>1168</v>
      </c>
      <c r="M28">
        <v>0</v>
      </c>
    </row>
    <row r="29" spans="1:13">
      <c r="A29" s="22">
        <v>45941</v>
      </c>
      <c r="B29" s="23" t="s">
        <v>68</v>
      </c>
      <c r="C29" s="23">
        <v>86.4</v>
      </c>
      <c r="D29" s="19" t="str">
        <f t="shared" si="4"/>
        <v>5.95</v>
      </c>
      <c r="E29" s="140">
        <f t="shared" si="3"/>
        <v>514</v>
      </c>
      <c r="M29">
        <v>0</v>
      </c>
    </row>
    <row r="30" spans="1:13">
      <c r="A30" s="22">
        <v>45941</v>
      </c>
      <c r="B30" s="23" t="s">
        <v>78</v>
      </c>
      <c r="C30" s="23">
        <v>200</v>
      </c>
      <c r="D30" s="19" t="str">
        <f t="shared" si="4"/>
        <v>5.75</v>
      </c>
      <c r="E30" s="140">
        <f t="shared" si="3"/>
        <v>1150</v>
      </c>
      <c r="M30">
        <v>0</v>
      </c>
    </row>
    <row r="31" spans="1:13">
      <c r="A31" s="22">
        <v>45942</v>
      </c>
      <c r="B31" s="23" t="s">
        <v>80</v>
      </c>
      <c r="C31" s="23">
        <v>241.72</v>
      </c>
      <c r="D31" s="19" t="str">
        <f t="shared" si="4"/>
        <v>5.75</v>
      </c>
      <c r="E31" s="140">
        <f t="shared" si="3"/>
        <v>1389</v>
      </c>
      <c r="M31">
        <v>0</v>
      </c>
    </row>
    <row r="32" spans="1:13">
      <c r="A32" s="22">
        <v>45942</v>
      </c>
      <c r="B32" s="23" t="s">
        <v>80</v>
      </c>
      <c r="C32" s="23">
        <v>622</v>
      </c>
      <c r="D32" s="19" t="str">
        <f t="shared" si="4"/>
        <v>5.75</v>
      </c>
      <c r="E32" s="140">
        <f t="shared" si="3"/>
        <v>3576</v>
      </c>
      <c r="M32">
        <v>0</v>
      </c>
    </row>
    <row r="33" spans="1:13">
      <c r="A33" s="22">
        <v>45943</v>
      </c>
      <c r="B33" s="23" t="s">
        <v>69</v>
      </c>
      <c r="C33" s="23">
        <v>73.97</v>
      </c>
      <c r="D33" s="19" t="str">
        <f t="shared" si="4"/>
        <v>5.95</v>
      </c>
      <c r="E33" s="140">
        <f t="shared" si="3"/>
        <v>440</v>
      </c>
      <c r="M33">
        <v>0</v>
      </c>
    </row>
    <row r="34" spans="1:13">
      <c r="A34" s="22">
        <v>45943</v>
      </c>
      <c r="B34" s="23" t="s">
        <v>77</v>
      </c>
      <c r="C34" s="23">
        <v>136</v>
      </c>
      <c r="D34" s="19" t="str">
        <f t="shared" si="4"/>
        <v>5.95</v>
      </c>
      <c r="E34" s="140">
        <f t="shared" si="3"/>
        <v>809</v>
      </c>
      <c r="M34">
        <v>0</v>
      </c>
    </row>
    <row r="35" spans="13:13">
      <c r="M35">
        <v>0</v>
      </c>
    </row>
    <row r="36" spans="13:13">
      <c r="M36">
        <v>0</v>
      </c>
    </row>
    <row r="37" spans="13:13">
      <c r="M37">
        <v>0</v>
      </c>
    </row>
    <row r="38" spans="13:13">
      <c r="M38">
        <v>0</v>
      </c>
    </row>
    <row r="39" spans="13:13">
      <c r="M39">
        <v>0</v>
      </c>
    </row>
    <row r="40" spans="13:13">
      <c r="M40">
        <v>0</v>
      </c>
    </row>
    <row r="41" spans="13:13">
      <c r="M41">
        <v>0</v>
      </c>
    </row>
    <row r="42" spans="13:13">
      <c r="M42">
        <v>0</v>
      </c>
    </row>
    <row r="43" spans="13:13">
      <c r="M43">
        <v>0</v>
      </c>
    </row>
    <row r="44" spans="13:13">
      <c r="M44">
        <v>0</v>
      </c>
    </row>
    <row r="45" spans="13:13">
      <c r="M45">
        <v>0</v>
      </c>
    </row>
    <row r="46" spans="13:13">
      <c r="M46">
        <v>0</v>
      </c>
    </row>
    <row r="47" spans="13:13">
      <c r="M47">
        <v>0</v>
      </c>
    </row>
    <row r="48" spans="13:13">
      <c r="M48">
        <v>0</v>
      </c>
    </row>
    <row r="49" spans="13:13">
      <c r="M49">
        <v>0</v>
      </c>
    </row>
    <row r="50" spans="13:13">
      <c r="M50">
        <v>0</v>
      </c>
    </row>
    <row r="51" spans="13:13">
      <c r="M51">
        <v>0</v>
      </c>
    </row>
    <row r="52" spans="13:13">
      <c r="M52">
        <v>0</v>
      </c>
    </row>
    <row r="53" spans="13:13">
      <c r="M53">
        <v>0</v>
      </c>
    </row>
    <row r="54" spans="13:13">
      <c r="M54">
        <v>0</v>
      </c>
    </row>
    <row r="55" spans="13:13">
      <c r="M55">
        <v>0</v>
      </c>
    </row>
    <row r="56" spans="13:13">
      <c r="M56">
        <v>0</v>
      </c>
    </row>
    <row r="57" spans="13:13">
      <c r="M57">
        <v>0</v>
      </c>
    </row>
  </sheetData>
  <sortState ref="A28:C34">
    <sortCondition ref="A28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N57"/>
  <sheetViews>
    <sheetView tabSelected="1" workbookViewId="0">
      <selection activeCell="N2" sqref="N2:N28"/>
    </sheetView>
  </sheetViews>
  <sheetFormatPr defaultColWidth="9" defaultRowHeight="14.25"/>
  <cols>
    <col min="1" max="1" width="9.875"/>
  </cols>
  <sheetData>
    <row r="1" ht="22.5" spans="1:7">
      <c r="A1" s="38" t="s">
        <v>0</v>
      </c>
      <c r="B1" s="39" t="s">
        <v>88</v>
      </c>
      <c r="C1" s="53"/>
      <c r="D1" s="76"/>
      <c r="E1" s="26" t="s">
        <v>2</v>
      </c>
      <c r="F1" s="42"/>
      <c r="G1" s="43"/>
    </row>
    <row r="2" spans="1:14">
      <c r="A2" s="108" t="s">
        <v>89</v>
      </c>
      <c r="B2" s="108" t="s">
        <v>90</v>
      </c>
      <c r="C2" s="141" t="s">
        <v>91</v>
      </c>
      <c r="D2" s="108" t="s">
        <v>92</v>
      </c>
      <c r="E2" s="77" t="s">
        <v>93</v>
      </c>
      <c r="F2" s="110" t="s">
        <v>94</v>
      </c>
      <c r="G2" s="141" t="s">
        <v>95</v>
      </c>
      <c r="M2" t="str" cm="1">
        <f t="array" ref="M2:M57">_xlfn.TOCOL(A2:G9)</f>
        <v>粤V05268</v>
      </c>
      <c r="N2" t="s">
        <v>89</v>
      </c>
    </row>
    <row r="3" spans="1:14">
      <c r="A3" s="108" t="s">
        <v>96</v>
      </c>
      <c r="B3" s="33" t="s">
        <v>97</v>
      </c>
      <c r="C3" s="33" t="s">
        <v>98</v>
      </c>
      <c r="D3" s="33" t="s">
        <v>99</v>
      </c>
      <c r="E3" s="142" t="s">
        <v>100</v>
      </c>
      <c r="F3" s="33" t="s">
        <v>101</v>
      </c>
      <c r="G3" s="77" t="s">
        <v>102</v>
      </c>
      <c r="J3" s="145" t="s">
        <v>103</v>
      </c>
      <c r="K3" s="145"/>
      <c r="M3" t="str">
        <v>粤V92187</v>
      </c>
      <c r="N3" t="s">
        <v>90</v>
      </c>
    </row>
    <row r="4" spans="1:14">
      <c r="A4" s="110" t="s">
        <v>104</v>
      </c>
      <c r="B4" s="110" t="s">
        <v>105</v>
      </c>
      <c r="C4" s="33" t="s">
        <v>106</v>
      </c>
      <c r="D4" s="108" t="s">
        <v>107</v>
      </c>
      <c r="E4" s="142" t="s">
        <v>108</v>
      </c>
      <c r="F4" s="108" t="s">
        <v>109</v>
      </c>
      <c r="G4" s="126" t="s">
        <v>110</v>
      </c>
      <c r="J4" s="45">
        <v>853</v>
      </c>
      <c r="K4" s="13">
        <v>537</v>
      </c>
      <c r="M4" t="str">
        <v>粤V98509</v>
      </c>
      <c r="N4" t="s">
        <v>91</v>
      </c>
    </row>
    <row r="5" spans="1:14">
      <c r="A5" s="108" t="s">
        <v>111</v>
      </c>
      <c r="B5" s="108" t="s">
        <v>112</v>
      </c>
      <c r="C5" s="108" t="s">
        <v>113</v>
      </c>
      <c r="D5" s="126" t="s">
        <v>114</v>
      </c>
      <c r="E5" s="108" t="s">
        <v>115</v>
      </c>
      <c r="F5" t="s">
        <v>116</v>
      </c>
      <c r="G5" s="13"/>
      <c r="J5" s="13"/>
      <c r="K5" s="13"/>
      <c r="M5" t="str">
        <v>粤LT616Z</v>
      </c>
      <c r="N5" t="s">
        <v>92</v>
      </c>
    </row>
    <row r="6" spans="1:14">
      <c r="A6" s="8"/>
      <c r="B6" s="8"/>
      <c r="C6" s="8"/>
      <c r="D6" s="8"/>
      <c r="E6" s="8"/>
      <c r="F6" s="8"/>
      <c r="G6" s="13"/>
      <c r="J6" s="13"/>
      <c r="K6" s="13"/>
      <c r="M6" t="str">
        <v>粤V02182</v>
      </c>
      <c r="N6" t="s">
        <v>93</v>
      </c>
    </row>
    <row r="7" spans="1:14">
      <c r="A7" s="8"/>
      <c r="B7" s="8"/>
      <c r="C7" s="8"/>
      <c r="D7" s="8"/>
      <c r="E7" s="126"/>
      <c r="F7" s="126"/>
      <c r="G7" s="13"/>
      <c r="M7" t="str">
        <v>粤V39548</v>
      </c>
      <c r="N7" t="s">
        <v>94</v>
      </c>
    </row>
    <row r="8" spans="1:14">
      <c r="A8" s="14"/>
      <c r="B8" s="8"/>
      <c r="C8" s="8"/>
      <c r="D8" s="8"/>
      <c r="E8" s="8"/>
      <c r="F8" s="8"/>
      <c r="G8" s="13"/>
      <c r="M8" t="str">
        <v>粤V03965</v>
      </c>
      <c r="N8" t="s">
        <v>95</v>
      </c>
    </row>
    <row r="9" spans="1:14">
      <c r="A9" s="14"/>
      <c r="B9" s="8"/>
      <c r="C9" s="8"/>
      <c r="D9" s="8"/>
      <c r="E9" s="142"/>
      <c r="F9" s="33"/>
      <c r="G9" s="13"/>
      <c r="M9" t="str">
        <v>赣M83285</v>
      </c>
      <c r="N9" t="s">
        <v>96</v>
      </c>
    </row>
    <row r="10" spans="1:14">
      <c r="A10" s="30"/>
      <c r="E10" s="143"/>
      <c r="M10" t="str">
        <v>粤VZ3080</v>
      </c>
      <c r="N10" t="s">
        <v>97</v>
      </c>
    </row>
    <row r="11" spans="1:14">
      <c r="A11" s="16" t="s">
        <v>35</v>
      </c>
      <c r="B11" s="17" t="s">
        <v>36</v>
      </c>
      <c r="C11" s="18" t="s">
        <v>37</v>
      </c>
      <c r="D11" s="17" t="s">
        <v>38</v>
      </c>
      <c r="E11" s="144" t="s">
        <v>39</v>
      </c>
      <c r="F11" s="17" t="s">
        <v>40</v>
      </c>
      <c r="G11" s="17" t="s">
        <v>40</v>
      </c>
      <c r="H11" s="17" t="s">
        <v>40</v>
      </c>
      <c r="M11" t="str">
        <v>粤V03863</v>
      </c>
      <c r="N11" t="s">
        <v>98</v>
      </c>
    </row>
    <row r="12" spans="1:14">
      <c r="A12" s="22">
        <v>45934</v>
      </c>
      <c r="B12" s="23" t="s">
        <v>85</v>
      </c>
      <c r="C12" s="23">
        <v>636.64</v>
      </c>
      <c r="D12" s="140">
        <v>5.85</v>
      </c>
      <c r="E12" s="140">
        <f>INT(C12*D12)</f>
        <v>3724</v>
      </c>
      <c r="M12" t="str">
        <v>粤V73761</v>
      </c>
      <c r="N12" t="s">
        <v>99</v>
      </c>
    </row>
    <row r="13" spans="5:14">
      <c r="E13" s="140"/>
      <c r="M13" t="str">
        <v>粤VN0966</v>
      </c>
      <c r="N13" t="s">
        <v>100</v>
      </c>
    </row>
    <row r="14" spans="1:14">
      <c r="A14" s="22">
        <v>45939</v>
      </c>
      <c r="B14" s="23" t="s">
        <v>85</v>
      </c>
      <c r="C14" s="23">
        <v>723.43</v>
      </c>
      <c r="D14" s="140">
        <v>5.85</v>
      </c>
      <c r="E14" s="140">
        <f>INT(C14*D14)</f>
        <v>4232</v>
      </c>
      <c r="M14" t="str">
        <v>粤VF6926</v>
      </c>
      <c r="N14" t="s">
        <v>101</v>
      </c>
    </row>
    <row r="15" spans="13:14">
      <c r="M15" t="str">
        <v>粤V01972</v>
      </c>
      <c r="N15" t="s">
        <v>102</v>
      </c>
    </row>
    <row r="16" spans="13:14">
      <c r="M16" t="str">
        <v>赣C0R531</v>
      </c>
      <c r="N16" t="s">
        <v>104</v>
      </c>
    </row>
    <row r="17" spans="13:14">
      <c r="M17" t="str">
        <v>赣C5N490</v>
      </c>
      <c r="N17" t="s">
        <v>105</v>
      </c>
    </row>
    <row r="18" spans="13:14">
      <c r="M18" t="str">
        <v>粤VA1422</v>
      </c>
      <c r="N18" t="s">
        <v>106</v>
      </c>
    </row>
    <row r="19" spans="13:14">
      <c r="M19" t="str">
        <v>赣CCG859</v>
      </c>
      <c r="N19" t="s">
        <v>107</v>
      </c>
    </row>
    <row r="20" spans="13:14">
      <c r="M20" t="str">
        <v>粤V05249</v>
      </c>
      <c r="N20" t="s">
        <v>108</v>
      </c>
    </row>
    <row r="21" spans="13:14">
      <c r="M21" t="str">
        <v>赣C3M640</v>
      </c>
      <c r="N21" t="s">
        <v>109</v>
      </c>
    </row>
    <row r="22" spans="13:14">
      <c r="M22" t="str">
        <v>粤V03048</v>
      </c>
      <c r="N22" t="s">
        <v>110</v>
      </c>
    </row>
    <row r="23" spans="13:14">
      <c r="M23" t="str">
        <v>赣AQ2711</v>
      </c>
      <c r="N23" t="s">
        <v>111</v>
      </c>
    </row>
    <row r="24" spans="13:14">
      <c r="M24" t="str">
        <v>粤AFW372</v>
      </c>
      <c r="N24" t="s">
        <v>112</v>
      </c>
    </row>
    <row r="25" spans="13:14">
      <c r="M25" t="str">
        <v>赣CAZ939</v>
      </c>
      <c r="N25" t="s">
        <v>113</v>
      </c>
    </row>
    <row r="26" spans="13:14">
      <c r="M26" t="str">
        <v>粤D2879K</v>
      </c>
      <c r="N26" t="s">
        <v>114</v>
      </c>
    </row>
    <row r="27" spans="13:14">
      <c r="M27" t="str">
        <v>粤VP6887</v>
      </c>
      <c r="N27" t="s">
        <v>115</v>
      </c>
    </row>
    <row r="28" spans="13:14">
      <c r="M28" t="str">
        <v>机动537</v>
      </c>
      <c r="N28" t="s">
        <v>116</v>
      </c>
    </row>
    <row r="29" spans="13:13">
      <c r="M29">
        <v>0</v>
      </c>
    </row>
    <row r="30" spans="13:13">
      <c r="M30">
        <v>0</v>
      </c>
    </row>
    <row r="31" spans="13:13">
      <c r="M31">
        <v>0</v>
      </c>
    </row>
    <row r="32" spans="13:13">
      <c r="M32">
        <v>0</v>
      </c>
    </row>
    <row r="33" spans="13:13">
      <c r="M33">
        <v>0</v>
      </c>
    </row>
    <row r="34" spans="13:13">
      <c r="M34">
        <v>0</v>
      </c>
    </row>
    <row r="35" spans="13:13">
      <c r="M35">
        <v>0</v>
      </c>
    </row>
    <row r="36" spans="13:13">
      <c r="M36">
        <v>0</v>
      </c>
    </row>
    <row r="37" spans="13:13">
      <c r="M37">
        <v>0</v>
      </c>
    </row>
    <row r="38" spans="13:13">
      <c r="M38">
        <v>0</v>
      </c>
    </row>
    <row r="39" spans="13:13">
      <c r="M39">
        <v>0</v>
      </c>
    </row>
    <row r="40" spans="13:13">
      <c r="M40">
        <v>0</v>
      </c>
    </row>
    <row r="41" spans="13:13">
      <c r="M41">
        <v>0</v>
      </c>
    </row>
    <row r="42" spans="13:13">
      <c r="M42">
        <v>0</v>
      </c>
    </row>
    <row r="43" spans="13:13">
      <c r="M43">
        <v>0</v>
      </c>
    </row>
    <row r="44" spans="13:13">
      <c r="M44">
        <v>0</v>
      </c>
    </row>
    <row r="45" spans="13:13">
      <c r="M45">
        <v>0</v>
      </c>
    </row>
    <row r="46" spans="13:13">
      <c r="M46">
        <v>0</v>
      </c>
    </row>
    <row r="47" spans="13:13">
      <c r="M47">
        <v>0</v>
      </c>
    </row>
    <row r="48" spans="13:13">
      <c r="M48">
        <v>0</v>
      </c>
    </row>
    <row r="49" spans="13:13">
      <c r="M49">
        <v>0</v>
      </c>
    </row>
    <row r="50" spans="13:13">
      <c r="M50">
        <v>0</v>
      </c>
    </row>
    <row r="51" spans="13:13">
      <c r="M51">
        <v>0</v>
      </c>
    </row>
    <row r="52" spans="13:13">
      <c r="M52">
        <v>0</v>
      </c>
    </row>
    <row r="53" spans="13:13">
      <c r="M53">
        <v>0</v>
      </c>
    </row>
    <row r="54" spans="13:13">
      <c r="M54">
        <v>0</v>
      </c>
    </row>
    <row r="55" spans="13:13">
      <c r="M55">
        <v>0</v>
      </c>
    </row>
    <row r="56" spans="13:13">
      <c r="M56">
        <v>0</v>
      </c>
    </row>
    <row r="57" spans="13:13">
      <c r="M57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J15"/>
  <sheetViews>
    <sheetView workbookViewId="0">
      <selection activeCell="A2" sqref="A2"/>
    </sheetView>
  </sheetViews>
  <sheetFormatPr defaultColWidth="9" defaultRowHeight="14.25"/>
  <cols>
    <col min="1" max="1" width="10.6666666666667" customWidth="1"/>
    <col min="5" max="5" width="10.4"/>
  </cols>
  <sheetData>
    <row r="1" ht="22.5" spans="1:9">
      <c r="A1" s="78" t="s">
        <v>0</v>
      </c>
      <c r="B1" s="39" t="s">
        <v>117</v>
      </c>
      <c r="C1" s="135"/>
      <c r="D1" s="41">
        <v>5.85</v>
      </c>
      <c r="E1" s="8"/>
      <c r="F1" s="6"/>
      <c r="G1" s="76"/>
      <c r="H1" s="46"/>
      <c r="I1" t="s">
        <v>118</v>
      </c>
    </row>
    <row r="2" ht="22.5" spans="1:10">
      <c r="A2" s="34" t="s">
        <v>119</v>
      </c>
      <c r="B2" s="39"/>
      <c r="C2" s="135"/>
      <c r="D2" s="13"/>
      <c r="E2" s="13"/>
      <c r="F2" s="13"/>
      <c r="G2" s="13"/>
      <c r="H2" s="46"/>
      <c r="J2" s="45" t="s">
        <v>120</v>
      </c>
    </row>
    <row r="3" spans="1:8">
      <c r="A3" s="8"/>
      <c r="C3" s="136"/>
      <c r="D3" s="45"/>
      <c r="E3" s="13"/>
      <c r="F3" s="45"/>
      <c r="G3" s="34"/>
      <c r="H3" s="46"/>
    </row>
    <row r="4" spans="1:8">
      <c r="A4" s="34"/>
      <c r="B4" s="34"/>
      <c r="C4" s="89"/>
      <c r="D4" s="34"/>
      <c r="E4" s="34"/>
      <c r="F4" s="34"/>
      <c r="G4" s="34"/>
      <c r="H4" s="46"/>
    </row>
    <row r="5" spans="1:8">
      <c r="A5" s="34"/>
      <c r="B5" s="34"/>
      <c r="C5" s="89"/>
      <c r="D5" s="34"/>
      <c r="E5" s="34"/>
      <c r="F5" s="34"/>
      <c r="G5" s="34"/>
      <c r="H5" s="46"/>
    </row>
    <row r="6" spans="1:8">
      <c r="A6" s="34"/>
      <c r="B6" s="34"/>
      <c r="C6" s="89"/>
      <c r="D6" s="34"/>
      <c r="E6" s="34"/>
      <c r="F6" s="34"/>
      <c r="G6" s="34"/>
      <c r="H6" s="106"/>
    </row>
    <row r="7" spans="1:8">
      <c r="A7" s="34"/>
      <c r="B7" s="34"/>
      <c r="C7" s="89"/>
      <c r="D7" s="34"/>
      <c r="E7" s="34"/>
      <c r="F7" s="34"/>
      <c r="G7" s="34"/>
      <c r="H7" s="106"/>
    </row>
    <row r="8" spans="1:8">
      <c r="A8" s="34"/>
      <c r="B8" s="34"/>
      <c r="C8" s="89"/>
      <c r="D8" s="34"/>
      <c r="E8" s="34"/>
      <c r="F8" s="34"/>
      <c r="G8" s="34"/>
      <c r="H8" s="106"/>
    </row>
    <row r="9" spans="1:8">
      <c r="A9" s="34"/>
      <c r="B9" s="34"/>
      <c r="C9" s="89"/>
      <c r="D9" s="34"/>
      <c r="E9" s="34"/>
      <c r="F9" s="34"/>
      <c r="G9" s="34"/>
      <c r="H9" s="106"/>
    </row>
    <row r="10" spans="1:8">
      <c r="A10" s="106"/>
      <c r="B10" s="106"/>
      <c r="C10" s="137"/>
      <c r="D10" s="106"/>
      <c r="E10" s="106"/>
      <c r="F10" s="106"/>
      <c r="G10" s="106"/>
      <c r="H10" s="106"/>
    </row>
    <row r="11" spans="1:8">
      <c r="A11" s="34" t="s">
        <v>35</v>
      </c>
      <c r="B11" s="34" t="s">
        <v>36</v>
      </c>
      <c r="C11" s="89" t="s">
        <v>37</v>
      </c>
      <c r="D11" s="34" t="s">
        <v>38</v>
      </c>
      <c r="E11" s="34" t="s">
        <v>39</v>
      </c>
      <c r="F11" s="34" t="s">
        <v>40</v>
      </c>
      <c r="G11" s="34" t="s">
        <v>40</v>
      </c>
      <c r="H11" s="34" t="s">
        <v>40</v>
      </c>
    </row>
    <row r="12" s="129" customFormat="1" spans="1:5">
      <c r="A12" s="138">
        <v>45928</v>
      </c>
      <c r="B12" s="139" t="s">
        <v>85</v>
      </c>
      <c r="C12" s="139">
        <v>441.11</v>
      </c>
      <c r="D12" s="134">
        <v>5.85</v>
      </c>
      <c r="E12" s="134">
        <f>INT(C12*D12)</f>
        <v>2580</v>
      </c>
    </row>
    <row r="13" spans="1:5">
      <c r="A13" s="22"/>
      <c r="B13" s="23"/>
      <c r="C13" s="85"/>
      <c r="D13" s="8"/>
      <c r="E13" s="134"/>
    </row>
    <row r="14" spans="1:5">
      <c r="A14" s="22"/>
      <c r="B14" s="23"/>
      <c r="C14" s="23"/>
      <c r="D14" s="140"/>
      <c r="E14" s="140"/>
    </row>
    <row r="15" spans="1:5">
      <c r="A15" s="22"/>
      <c r="B15" s="23"/>
      <c r="C15" s="23"/>
      <c r="D15" s="140"/>
      <c r="E15" s="140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M61"/>
  <sheetViews>
    <sheetView topLeftCell="A30" workbookViewId="0">
      <selection activeCell="A51" sqref="A51:E61"/>
    </sheetView>
  </sheetViews>
  <sheetFormatPr defaultColWidth="9" defaultRowHeight="14.25"/>
  <cols>
    <col min="1" max="1" width="10.8" customWidth="1"/>
    <col min="2" max="2" width="10.5" customWidth="1"/>
  </cols>
  <sheetData>
    <row r="1" ht="22.5" spans="1:8">
      <c r="A1" s="116" t="s">
        <v>0</v>
      </c>
      <c r="B1" s="39" t="s">
        <v>121</v>
      </c>
      <c r="C1" s="40"/>
      <c r="D1" s="76"/>
      <c r="E1" s="26" t="s">
        <v>2</v>
      </c>
      <c r="F1" s="13"/>
      <c r="G1" s="6"/>
      <c r="H1" s="125"/>
    </row>
    <row r="2" spans="1:13">
      <c r="A2" s="13" t="s">
        <v>122</v>
      </c>
      <c r="B2" s="13" t="s">
        <v>123</v>
      </c>
      <c r="C2" s="13" t="s">
        <v>124</v>
      </c>
      <c r="D2" s="13" t="s">
        <v>125</v>
      </c>
      <c r="E2" s="13" t="s">
        <v>126</v>
      </c>
      <c r="F2" s="13" t="s">
        <v>127</v>
      </c>
      <c r="G2" s="13" t="s">
        <v>128</v>
      </c>
      <c r="H2" s="46"/>
      <c r="L2" t="str" cm="1">
        <f t="array" ref="L2:L57">_xlfn.TOCOL(A2:G9)</f>
        <v>粤VW8769</v>
      </c>
      <c r="M2" t="s">
        <v>122</v>
      </c>
    </row>
    <row r="3" spans="1:13">
      <c r="A3" s="13" t="s">
        <v>129</v>
      </c>
      <c r="B3" s="13" t="s">
        <v>130</v>
      </c>
      <c r="C3" s="13" t="s">
        <v>131</v>
      </c>
      <c r="D3" s="13" t="s">
        <v>132</v>
      </c>
      <c r="E3" s="13" t="s">
        <v>133</v>
      </c>
      <c r="F3" s="13" t="s">
        <v>134</v>
      </c>
      <c r="G3" s="13" t="s">
        <v>135</v>
      </c>
      <c r="H3" s="46"/>
      <c r="L3" t="str">
        <v>粤VZ8558</v>
      </c>
      <c r="M3" t="s">
        <v>123</v>
      </c>
    </row>
    <row r="4" spans="1:13">
      <c r="A4" s="13" t="s">
        <v>136</v>
      </c>
      <c r="B4" s="8" t="s">
        <v>137</v>
      </c>
      <c r="C4" s="13" t="s">
        <v>138</v>
      </c>
      <c r="D4" s="8" t="s">
        <v>139</v>
      </c>
      <c r="E4" s="13" t="s">
        <v>140</v>
      </c>
      <c r="F4" s="8" t="s">
        <v>141</v>
      </c>
      <c r="G4" s="13" t="s">
        <v>142</v>
      </c>
      <c r="H4" s="46"/>
      <c r="L4" t="str">
        <v>粤VX0945</v>
      </c>
      <c r="M4" t="s">
        <v>124</v>
      </c>
    </row>
    <row r="5" spans="1:13">
      <c r="A5" s="13" t="s">
        <v>143</v>
      </c>
      <c r="B5" s="130" t="s">
        <v>144</v>
      </c>
      <c r="C5" s="56" t="s">
        <v>145</v>
      </c>
      <c r="D5" s="13" t="s">
        <v>146</v>
      </c>
      <c r="E5" s="13" t="s">
        <v>147</v>
      </c>
      <c r="F5" s="13" t="s">
        <v>148</v>
      </c>
      <c r="G5" s="13"/>
      <c r="H5" s="46"/>
      <c r="L5" t="str">
        <v>赣CAY252</v>
      </c>
      <c r="M5" t="s">
        <v>125</v>
      </c>
    </row>
    <row r="6" spans="1:13">
      <c r="A6" s="13"/>
      <c r="B6" s="8"/>
      <c r="C6" s="8"/>
      <c r="D6" s="8"/>
      <c r="E6" s="8"/>
      <c r="F6" s="8"/>
      <c r="G6" s="13"/>
      <c r="H6" s="46"/>
      <c r="L6" t="str">
        <v>粤V6V115</v>
      </c>
      <c r="M6" t="s">
        <v>126</v>
      </c>
    </row>
    <row r="7" spans="1:13">
      <c r="A7" s="13"/>
      <c r="B7" s="8"/>
      <c r="C7" s="8"/>
      <c r="D7" s="13"/>
      <c r="E7" s="13"/>
      <c r="F7" s="13"/>
      <c r="G7" s="13"/>
      <c r="H7" s="46"/>
      <c r="L7" t="str">
        <v>粤VQ4541</v>
      </c>
      <c r="M7" t="s">
        <v>127</v>
      </c>
    </row>
    <row r="8" spans="1:13">
      <c r="A8" s="13"/>
      <c r="B8" s="13"/>
      <c r="C8" s="13"/>
      <c r="D8" s="13"/>
      <c r="E8" s="13"/>
      <c r="F8" s="13"/>
      <c r="G8" s="13"/>
      <c r="H8" s="46"/>
      <c r="L8" t="str">
        <v>粤VN3920</v>
      </c>
      <c r="M8" t="s">
        <v>128</v>
      </c>
    </row>
    <row r="9" spans="1:13">
      <c r="A9" s="13"/>
      <c r="B9" s="13"/>
      <c r="C9" s="40"/>
      <c r="D9" s="13"/>
      <c r="E9" s="13"/>
      <c r="F9" s="13"/>
      <c r="G9" s="76"/>
      <c r="H9" s="46"/>
      <c r="L9" t="str">
        <v>赣M12207</v>
      </c>
      <c r="M9" t="s">
        <v>129</v>
      </c>
    </row>
    <row r="10" spans="12:13">
      <c r="L10" t="str">
        <v>粤V6C896</v>
      </c>
      <c r="M10" t="s">
        <v>130</v>
      </c>
    </row>
    <row r="11" spans="1:13">
      <c r="A11" s="17" t="s">
        <v>35</v>
      </c>
      <c r="B11" s="17" t="s">
        <v>36</v>
      </c>
      <c r="C11" s="127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 t="str">
        <v>赣K96093</v>
      </c>
      <c r="M11" t="s">
        <v>131</v>
      </c>
    </row>
    <row r="12" spans="1:13">
      <c r="A12" s="22">
        <v>45925</v>
      </c>
      <c r="B12" s="23" t="s">
        <v>149</v>
      </c>
      <c r="C12" s="23">
        <v>75.97</v>
      </c>
      <c r="D12" s="19" t="str">
        <f t="shared" ref="D12" si="0">IF(C12&gt;=200,"5.75",IF(C12&lt;200,"5.95"))</f>
        <v>5.95</v>
      </c>
      <c r="E12" s="8">
        <f t="shared" ref="E12" si="1">INT(C12*D12)</f>
        <v>452</v>
      </c>
      <c r="L12" t="str">
        <v>粤V913D0</v>
      </c>
      <c r="M12" t="s">
        <v>132</v>
      </c>
    </row>
    <row r="13" spans="1:13">
      <c r="A13" s="22">
        <v>45926</v>
      </c>
      <c r="B13" s="23" t="s">
        <v>150</v>
      </c>
      <c r="C13" s="23">
        <v>213.38</v>
      </c>
      <c r="D13" s="19" t="str">
        <f t="shared" ref="D13:D16" si="2">IF(C13&gt;=200,"5.75",IF(C13&lt;200,"5.95"))</f>
        <v>5.75</v>
      </c>
      <c r="E13" s="8">
        <f t="shared" ref="E13:E21" si="3">INT(C13*D13)</f>
        <v>1226</v>
      </c>
      <c r="L13" t="str">
        <v>粤MS2183</v>
      </c>
      <c r="M13" t="s">
        <v>133</v>
      </c>
    </row>
    <row r="14" spans="1:13">
      <c r="A14" s="22">
        <v>45926</v>
      </c>
      <c r="B14" s="23" t="s">
        <v>151</v>
      </c>
      <c r="C14" s="23">
        <v>220.79</v>
      </c>
      <c r="D14" s="19" t="str">
        <f t="shared" si="2"/>
        <v>5.75</v>
      </c>
      <c r="E14" s="8">
        <f t="shared" si="3"/>
        <v>1269</v>
      </c>
      <c r="L14" t="str">
        <v>粤VZ6586</v>
      </c>
      <c r="M14" t="s">
        <v>134</v>
      </c>
    </row>
    <row r="15" spans="1:13">
      <c r="A15" s="22">
        <v>45926</v>
      </c>
      <c r="B15" s="23" t="s">
        <v>152</v>
      </c>
      <c r="C15" s="23">
        <v>103.56</v>
      </c>
      <c r="D15" s="19" t="str">
        <f t="shared" si="2"/>
        <v>5.95</v>
      </c>
      <c r="E15" s="8">
        <f t="shared" si="3"/>
        <v>616</v>
      </c>
      <c r="L15" t="str">
        <v>粤V5179D</v>
      </c>
      <c r="M15" t="s">
        <v>135</v>
      </c>
    </row>
    <row r="16" spans="1:13">
      <c r="A16" s="22">
        <v>45927</v>
      </c>
      <c r="B16" s="23" t="s">
        <v>153</v>
      </c>
      <c r="C16" s="23">
        <v>89.31</v>
      </c>
      <c r="D16" s="19" t="str">
        <f t="shared" si="2"/>
        <v>5.95</v>
      </c>
      <c r="E16" s="8">
        <f t="shared" si="3"/>
        <v>531</v>
      </c>
      <c r="L16" t="str">
        <v>粤VN2691</v>
      </c>
      <c r="M16" t="s">
        <v>136</v>
      </c>
    </row>
    <row r="17" spans="1:13">
      <c r="A17" s="22">
        <v>45928</v>
      </c>
      <c r="B17" s="23" t="s">
        <v>154</v>
      </c>
      <c r="C17" s="23">
        <v>400</v>
      </c>
      <c r="D17" s="19" t="str">
        <f>IF(C17&gt;=200,"5.85",IF(C17&lt;200,"5.95"))</f>
        <v>5.85</v>
      </c>
      <c r="E17" s="8">
        <f t="shared" si="3"/>
        <v>2340</v>
      </c>
      <c r="L17" t="str">
        <v>粤VQW072</v>
      </c>
      <c r="M17" t="s">
        <v>137</v>
      </c>
    </row>
    <row r="18" spans="1:13">
      <c r="A18" s="22">
        <v>45928</v>
      </c>
      <c r="B18" s="23" t="s">
        <v>155</v>
      </c>
      <c r="C18" s="23">
        <v>60.15</v>
      </c>
      <c r="D18" s="19" t="str">
        <f>IF(C18&gt;=200,"5.85",IF(C18&lt;200,"5.95"))</f>
        <v>5.95</v>
      </c>
      <c r="E18" s="8">
        <f t="shared" si="3"/>
        <v>357</v>
      </c>
      <c r="L18" t="str">
        <v>粤VQ8931</v>
      </c>
      <c r="M18" t="s">
        <v>138</v>
      </c>
    </row>
    <row r="19" spans="1:13">
      <c r="A19" s="22">
        <v>45928</v>
      </c>
      <c r="B19" s="23" t="s">
        <v>156</v>
      </c>
      <c r="C19" s="23">
        <v>45.86</v>
      </c>
      <c r="D19" s="19" t="str">
        <f>IF(C19&gt;=200,"5.85",IF(C19&lt;200,"5.95"))</f>
        <v>5.95</v>
      </c>
      <c r="E19" s="8">
        <f t="shared" si="3"/>
        <v>272</v>
      </c>
      <c r="L19" t="str">
        <v>粤VS5738</v>
      </c>
      <c r="M19" t="s">
        <v>139</v>
      </c>
    </row>
    <row r="20" spans="1:13">
      <c r="A20" s="22">
        <v>45928</v>
      </c>
      <c r="B20" s="23" t="s">
        <v>157</v>
      </c>
      <c r="C20" s="23">
        <v>67.53</v>
      </c>
      <c r="D20" s="19" t="str">
        <f>IF(C20&gt;=200,"5.85",IF(C20&lt;200,"5.95"))</f>
        <v>5.95</v>
      </c>
      <c r="E20" s="8">
        <f t="shared" si="3"/>
        <v>401</v>
      </c>
      <c r="L20" t="str">
        <v>粤V5K938</v>
      </c>
      <c r="M20" t="s">
        <v>140</v>
      </c>
    </row>
    <row r="21" s="129" customFormat="1" spans="1:13">
      <c r="A21" s="131">
        <v>45928</v>
      </c>
      <c r="B21" s="132" t="s">
        <v>158</v>
      </c>
      <c r="C21" s="132">
        <v>83.16</v>
      </c>
      <c r="D21" s="133" t="str">
        <f>IF(C21&gt;=200,"5.85",IF(C21&lt;200,"5.95"))</f>
        <v>5.95</v>
      </c>
      <c r="E21" s="134">
        <f t="shared" si="3"/>
        <v>494</v>
      </c>
      <c r="L21" s="129" t="str">
        <v>粤V829U2</v>
      </c>
      <c r="M21" s="129" t="s">
        <v>141</v>
      </c>
    </row>
    <row r="22" spans="1:13">
      <c r="A22" s="22">
        <v>45929</v>
      </c>
      <c r="B22" s="23" t="s">
        <v>159</v>
      </c>
      <c r="C22" s="23">
        <v>64.95</v>
      </c>
      <c r="D22" s="19" t="str">
        <f t="shared" ref="D22:D27" si="4">IF(C22&gt;=200,"5.85",IF(C22&lt;200,"5.95"))</f>
        <v>5.95</v>
      </c>
      <c r="E22" s="8">
        <f t="shared" ref="E22:E27" si="5">INT(C22*D22)</f>
        <v>386</v>
      </c>
      <c r="L22" t="str">
        <v>粤VN2495</v>
      </c>
      <c r="M22" t="s">
        <v>142</v>
      </c>
    </row>
    <row r="23" spans="1:13">
      <c r="A23" s="22">
        <v>45929</v>
      </c>
      <c r="B23" s="23" t="s">
        <v>160</v>
      </c>
      <c r="C23" s="23">
        <v>100</v>
      </c>
      <c r="D23" s="19" t="str">
        <f t="shared" si="4"/>
        <v>5.95</v>
      </c>
      <c r="E23" s="8">
        <f t="shared" si="5"/>
        <v>595</v>
      </c>
      <c r="L23" t="str">
        <v>赣C5M101</v>
      </c>
      <c r="M23" t="s">
        <v>143</v>
      </c>
    </row>
    <row r="24" spans="1:13">
      <c r="A24" s="22">
        <v>45930</v>
      </c>
      <c r="B24" s="23" t="s">
        <v>153</v>
      </c>
      <c r="C24" s="23">
        <v>87.08</v>
      </c>
      <c r="D24" s="19" t="str">
        <f t="shared" si="4"/>
        <v>5.95</v>
      </c>
      <c r="E24" s="8">
        <f t="shared" si="5"/>
        <v>518</v>
      </c>
      <c r="L24" t="str">
        <v>粤VAH099</v>
      </c>
      <c r="M24" t="s">
        <v>144</v>
      </c>
    </row>
    <row r="25" spans="1:13">
      <c r="A25" s="22">
        <v>45930</v>
      </c>
      <c r="B25" s="23" t="s">
        <v>152</v>
      </c>
      <c r="C25" s="23">
        <v>103.56</v>
      </c>
      <c r="D25" s="19" t="str">
        <f t="shared" si="4"/>
        <v>5.95</v>
      </c>
      <c r="E25" s="8">
        <f t="shared" si="5"/>
        <v>616</v>
      </c>
      <c r="L25" t="str">
        <v>粤VV2273</v>
      </c>
      <c r="M25" t="s">
        <v>145</v>
      </c>
    </row>
    <row r="26" spans="1:13">
      <c r="A26" s="22">
        <v>45931</v>
      </c>
      <c r="B26" s="23" t="s">
        <v>154</v>
      </c>
      <c r="C26" s="23">
        <v>400</v>
      </c>
      <c r="D26" s="19" t="str">
        <f t="shared" si="4"/>
        <v>5.85</v>
      </c>
      <c r="E26" s="8">
        <f t="shared" si="5"/>
        <v>2340</v>
      </c>
      <c r="L26" t="str">
        <v>粤V1805K</v>
      </c>
      <c r="M26" t="s">
        <v>146</v>
      </c>
    </row>
    <row r="27" spans="1:13">
      <c r="A27" s="22">
        <v>45931</v>
      </c>
      <c r="B27" s="23" t="s">
        <v>161</v>
      </c>
      <c r="C27" s="23">
        <v>94.53</v>
      </c>
      <c r="D27" s="19" t="str">
        <f t="shared" si="4"/>
        <v>5.95</v>
      </c>
      <c r="E27" s="8">
        <f t="shared" si="5"/>
        <v>562</v>
      </c>
      <c r="L27" t="str">
        <v>赣C8M788</v>
      </c>
      <c r="M27" t="s">
        <v>147</v>
      </c>
    </row>
    <row r="28" spans="1:13">
      <c r="A28" s="22">
        <v>45932</v>
      </c>
      <c r="B28" s="23" t="s">
        <v>149</v>
      </c>
      <c r="C28" s="23">
        <v>29.59</v>
      </c>
      <c r="D28" s="19" t="str">
        <f t="shared" ref="D28:D36" si="6">IF(C28&gt;=200,"5.85",IF(C28&lt;200,"5.95"))</f>
        <v>5.95</v>
      </c>
      <c r="E28" s="8">
        <f t="shared" ref="E28:E36" si="7">INT(C28*D28)</f>
        <v>176</v>
      </c>
      <c r="L28" t="str">
        <v>皖LH6186</v>
      </c>
      <c r="M28" t="s">
        <v>148</v>
      </c>
    </row>
    <row r="29" spans="1:12">
      <c r="A29" s="22">
        <v>45932</v>
      </c>
      <c r="B29" s="23" t="s">
        <v>162</v>
      </c>
      <c r="C29" s="23">
        <v>98</v>
      </c>
      <c r="D29" s="19" t="str">
        <f t="shared" si="6"/>
        <v>5.95</v>
      </c>
      <c r="E29" s="8">
        <f t="shared" si="7"/>
        <v>583</v>
      </c>
      <c r="L29">
        <v>0</v>
      </c>
    </row>
    <row r="30" spans="1:12">
      <c r="A30" s="22">
        <v>45932</v>
      </c>
      <c r="B30" s="23" t="s">
        <v>160</v>
      </c>
      <c r="C30" s="23">
        <v>44.38</v>
      </c>
      <c r="D30" s="19" t="str">
        <f t="shared" si="6"/>
        <v>5.95</v>
      </c>
      <c r="E30" s="8">
        <f t="shared" si="7"/>
        <v>264</v>
      </c>
      <c r="L30">
        <v>0</v>
      </c>
    </row>
    <row r="31" spans="1:12">
      <c r="A31" s="22">
        <v>45933</v>
      </c>
      <c r="B31" s="23" t="s">
        <v>163</v>
      </c>
      <c r="C31" s="23">
        <v>238.08</v>
      </c>
      <c r="D31" s="19" t="str">
        <f t="shared" si="6"/>
        <v>5.85</v>
      </c>
      <c r="E31" s="8">
        <f t="shared" si="7"/>
        <v>1392</v>
      </c>
      <c r="L31">
        <v>0</v>
      </c>
    </row>
    <row r="32" spans="1:12">
      <c r="A32" s="22">
        <v>45933</v>
      </c>
      <c r="B32" s="23" t="s">
        <v>157</v>
      </c>
      <c r="C32" s="23">
        <v>61.5</v>
      </c>
      <c r="D32" s="19" t="str">
        <f t="shared" si="6"/>
        <v>5.95</v>
      </c>
      <c r="E32" s="8">
        <f t="shared" si="7"/>
        <v>365</v>
      </c>
      <c r="L32">
        <v>0</v>
      </c>
    </row>
    <row r="33" spans="1:12">
      <c r="A33" s="22">
        <v>45933</v>
      </c>
      <c r="B33" s="23" t="s">
        <v>164</v>
      </c>
      <c r="C33" s="23">
        <v>283.68</v>
      </c>
      <c r="D33" s="19" t="str">
        <f t="shared" si="6"/>
        <v>5.85</v>
      </c>
      <c r="E33" s="8">
        <f t="shared" si="7"/>
        <v>1659</v>
      </c>
      <c r="L33">
        <v>0</v>
      </c>
    </row>
    <row r="34" spans="1:12">
      <c r="A34" s="22">
        <v>45933</v>
      </c>
      <c r="B34" s="23" t="s">
        <v>160</v>
      </c>
      <c r="C34" s="23">
        <v>255</v>
      </c>
      <c r="D34" s="19" t="str">
        <f t="shared" si="6"/>
        <v>5.85</v>
      </c>
      <c r="E34" s="8">
        <f t="shared" si="7"/>
        <v>1491</v>
      </c>
      <c r="L34">
        <v>0</v>
      </c>
    </row>
    <row r="35" spans="1:12">
      <c r="A35" s="22">
        <v>45934</v>
      </c>
      <c r="B35" s="23" t="s">
        <v>152</v>
      </c>
      <c r="C35" s="23">
        <v>103.56</v>
      </c>
      <c r="D35" s="19" t="str">
        <f t="shared" si="6"/>
        <v>5.95</v>
      </c>
      <c r="E35" s="8">
        <f t="shared" si="7"/>
        <v>616</v>
      </c>
      <c r="L35">
        <v>0</v>
      </c>
    </row>
    <row r="36" spans="1:12">
      <c r="A36" s="22">
        <v>45934</v>
      </c>
      <c r="B36" s="23" t="s">
        <v>155</v>
      </c>
      <c r="C36" s="23">
        <v>54.04</v>
      </c>
      <c r="D36" s="19" t="str">
        <f t="shared" si="6"/>
        <v>5.95</v>
      </c>
      <c r="E36" s="8">
        <f t="shared" si="7"/>
        <v>321</v>
      </c>
      <c r="L36">
        <v>0</v>
      </c>
    </row>
    <row r="37" spans="4:12">
      <c r="D37" s="19"/>
      <c r="E37" s="8"/>
      <c r="F37">
        <f>SUM(E28:E36)</f>
        <v>6867</v>
      </c>
      <c r="L37">
        <v>0</v>
      </c>
    </row>
    <row r="38" spans="1:12">
      <c r="A38" s="22">
        <v>45935</v>
      </c>
      <c r="B38" s="23" t="s">
        <v>165</v>
      </c>
      <c r="C38" s="23">
        <v>370</v>
      </c>
      <c r="D38" s="19" t="str">
        <f t="shared" ref="D37:D49" si="8">IF(C38&gt;=200,"5.85",IF(C38&lt;200,"5.95"))</f>
        <v>5.85</v>
      </c>
      <c r="E38" s="8">
        <f t="shared" ref="E37:E49" si="9">INT(C38*D38)</f>
        <v>2164</v>
      </c>
      <c r="L38">
        <v>0</v>
      </c>
    </row>
    <row r="39" spans="1:12">
      <c r="A39" s="22">
        <v>45935</v>
      </c>
      <c r="B39" s="23" t="s">
        <v>153</v>
      </c>
      <c r="C39" s="23">
        <v>89.48</v>
      </c>
      <c r="D39" s="19" t="str">
        <f t="shared" si="8"/>
        <v>5.95</v>
      </c>
      <c r="E39" s="8">
        <f t="shared" si="9"/>
        <v>532</v>
      </c>
      <c r="L39">
        <v>0</v>
      </c>
    </row>
    <row r="40" spans="1:12">
      <c r="A40" s="22">
        <v>45935</v>
      </c>
      <c r="B40" s="23" t="s">
        <v>151</v>
      </c>
      <c r="C40" s="23">
        <v>211</v>
      </c>
      <c r="D40" s="19" t="str">
        <f t="shared" si="8"/>
        <v>5.85</v>
      </c>
      <c r="E40" s="8">
        <f t="shared" si="9"/>
        <v>1234</v>
      </c>
      <c r="L40">
        <v>0</v>
      </c>
    </row>
    <row r="41" spans="1:12">
      <c r="A41" s="22">
        <v>45937</v>
      </c>
      <c r="B41" s="23" t="s">
        <v>149</v>
      </c>
      <c r="C41" s="23">
        <v>29.59</v>
      </c>
      <c r="D41" s="19" t="str">
        <f t="shared" si="8"/>
        <v>5.95</v>
      </c>
      <c r="E41" s="8">
        <f t="shared" si="9"/>
        <v>176</v>
      </c>
      <c r="L41">
        <v>0</v>
      </c>
    </row>
    <row r="42" spans="1:12">
      <c r="A42" s="22">
        <v>45938</v>
      </c>
      <c r="B42" s="23" t="s">
        <v>154</v>
      </c>
      <c r="C42" s="23">
        <v>400</v>
      </c>
      <c r="D42" s="19" t="str">
        <f t="shared" si="8"/>
        <v>5.85</v>
      </c>
      <c r="E42" s="8">
        <f t="shared" si="9"/>
        <v>2340</v>
      </c>
      <c r="L42">
        <v>0</v>
      </c>
    </row>
    <row r="43" spans="1:12">
      <c r="A43" s="22">
        <v>45938</v>
      </c>
      <c r="B43" s="23" t="s">
        <v>150</v>
      </c>
      <c r="C43" s="23">
        <v>218.26</v>
      </c>
      <c r="D43" s="19" t="str">
        <f t="shared" si="8"/>
        <v>5.85</v>
      </c>
      <c r="E43" s="8">
        <f t="shared" si="9"/>
        <v>1276</v>
      </c>
      <c r="L43">
        <v>0</v>
      </c>
    </row>
    <row r="44" spans="1:12">
      <c r="A44" s="22">
        <v>45938</v>
      </c>
      <c r="B44" s="23" t="s">
        <v>155</v>
      </c>
      <c r="C44" s="23">
        <v>52.75</v>
      </c>
      <c r="D44" s="19" t="str">
        <f t="shared" si="8"/>
        <v>5.95</v>
      </c>
      <c r="E44" s="8">
        <f t="shared" si="9"/>
        <v>313</v>
      </c>
      <c r="L44">
        <v>0</v>
      </c>
    </row>
    <row r="45" spans="1:12">
      <c r="A45" s="22">
        <v>45939</v>
      </c>
      <c r="B45" s="23" t="s">
        <v>157</v>
      </c>
      <c r="C45" s="23">
        <v>56.96</v>
      </c>
      <c r="D45" s="19" t="str">
        <f t="shared" si="8"/>
        <v>5.95</v>
      </c>
      <c r="E45" s="8">
        <f t="shared" si="9"/>
        <v>338</v>
      </c>
      <c r="L45">
        <v>0</v>
      </c>
    </row>
    <row r="46" spans="1:12">
      <c r="A46" s="22">
        <v>45939</v>
      </c>
      <c r="B46" s="23" t="s">
        <v>156</v>
      </c>
      <c r="C46" s="23">
        <v>45.91</v>
      </c>
      <c r="D46" s="19" t="str">
        <f t="shared" si="8"/>
        <v>5.95</v>
      </c>
      <c r="E46" s="8">
        <f t="shared" si="9"/>
        <v>273</v>
      </c>
      <c r="L46">
        <v>0</v>
      </c>
    </row>
    <row r="47" spans="1:12">
      <c r="A47" s="22">
        <v>45939</v>
      </c>
      <c r="B47" s="23" t="s">
        <v>165</v>
      </c>
      <c r="C47" s="23">
        <v>380.01</v>
      </c>
      <c r="D47" s="19" t="str">
        <f t="shared" si="8"/>
        <v>5.85</v>
      </c>
      <c r="E47" s="8">
        <f t="shared" si="9"/>
        <v>2223</v>
      </c>
      <c r="L47">
        <v>0</v>
      </c>
    </row>
    <row r="48" spans="1:12">
      <c r="A48" s="22">
        <v>45939</v>
      </c>
      <c r="B48" s="23" t="s">
        <v>153</v>
      </c>
      <c r="C48" s="23">
        <v>79.46</v>
      </c>
      <c r="D48" s="19" t="str">
        <f t="shared" si="8"/>
        <v>5.95</v>
      </c>
      <c r="E48" s="8">
        <f t="shared" si="9"/>
        <v>472</v>
      </c>
      <c r="L48">
        <v>0</v>
      </c>
    </row>
    <row r="49" spans="1:12">
      <c r="A49" s="22">
        <v>45940</v>
      </c>
      <c r="B49" s="23" t="s">
        <v>149</v>
      </c>
      <c r="C49" s="23">
        <v>29.59</v>
      </c>
      <c r="D49" s="19" t="str">
        <f t="shared" si="8"/>
        <v>5.95</v>
      </c>
      <c r="E49" s="8">
        <f t="shared" si="9"/>
        <v>176</v>
      </c>
      <c r="L49">
        <v>0</v>
      </c>
    </row>
    <row r="50" spans="4:12">
      <c r="D50" s="19"/>
      <c r="E50" s="8">
        <f t="shared" ref="E50:E60" si="10">INT(C50*D50)</f>
        <v>0</v>
      </c>
      <c r="F50">
        <f>SUM(E38:E49)</f>
        <v>11517</v>
      </c>
      <c r="L50">
        <v>0</v>
      </c>
    </row>
    <row r="51" spans="1:12">
      <c r="A51" s="22">
        <v>45941</v>
      </c>
      <c r="B51" s="23" t="s">
        <v>138</v>
      </c>
      <c r="C51" s="23">
        <v>270</v>
      </c>
      <c r="D51" s="19" t="str">
        <f>IF(C51&gt;=200,"5.75",IF(C51&lt;200,"5.95"))</f>
        <v>5.75</v>
      </c>
      <c r="E51" s="8">
        <f t="shared" si="10"/>
        <v>1552</v>
      </c>
      <c r="L51">
        <v>0</v>
      </c>
    </row>
    <row r="52" spans="1:12">
      <c r="A52" s="22">
        <v>45941</v>
      </c>
      <c r="B52" s="23" t="s">
        <v>137</v>
      </c>
      <c r="C52" s="23">
        <v>94.34</v>
      </c>
      <c r="D52" s="19" t="str">
        <f t="shared" ref="D52:D60" si="11">IF(C52&gt;=200,"5.75",IF(C52&lt;200,"5.95"))</f>
        <v>5.95</v>
      </c>
      <c r="E52" s="8">
        <f t="shared" si="10"/>
        <v>561</v>
      </c>
      <c r="L52">
        <v>0</v>
      </c>
    </row>
    <row r="53" spans="1:12">
      <c r="A53" s="22">
        <v>45942</v>
      </c>
      <c r="B53" s="23" t="s">
        <v>144</v>
      </c>
      <c r="C53" s="23">
        <v>29.59</v>
      </c>
      <c r="D53" s="19" t="str">
        <f t="shared" si="11"/>
        <v>5.95</v>
      </c>
      <c r="E53" s="8">
        <f t="shared" si="10"/>
        <v>176</v>
      </c>
      <c r="L53">
        <v>0</v>
      </c>
    </row>
    <row r="54" spans="1:12">
      <c r="A54" s="22">
        <v>45942</v>
      </c>
      <c r="B54" s="23" t="s">
        <v>140</v>
      </c>
      <c r="C54" s="23">
        <v>80.03</v>
      </c>
      <c r="D54" s="19" t="str">
        <f t="shared" si="11"/>
        <v>5.95</v>
      </c>
      <c r="E54" s="8">
        <f t="shared" si="10"/>
        <v>476</v>
      </c>
      <c r="L54">
        <v>0</v>
      </c>
    </row>
    <row r="55" spans="1:12">
      <c r="A55" s="22">
        <v>45942</v>
      </c>
      <c r="B55" s="23" t="s">
        <v>146</v>
      </c>
      <c r="C55" s="23">
        <v>63.61</v>
      </c>
      <c r="D55" s="19" t="str">
        <f t="shared" si="11"/>
        <v>5.95</v>
      </c>
      <c r="E55" s="8">
        <f t="shared" si="10"/>
        <v>378</v>
      </c>
      <c r="L55">
        <v>0</v>
      </c>
    </row>
    <row r="56" spans="1:12">
      <c r="A56" s="22">
        <v>45943</v>
      </c>
      <c r="B56" s="23" t="s">
        <v>139</v>
      </c>
      <c r="C56" s="23">
        <v>50.5</v>
      </c>
      <c r="D56" s="19" t="str">
        <f t="shared" si="11"/>
        <v>5.95</v>
      </c>
      <c r="E56" s="8">
        <f t="shared" si="10"/>
        <v>300</v>
      </c>
      <c r="L56">
        <v>0</v>
      </c>
    </row>
    <row r="57" spans="1:12">
      <c r="A57" s="22">
        <v>45943</v>
      </c>
      <c r="B57" s="23" t="s">
        <v>144</v>
      </c>
      <c r="C57" s="23">
        <v>29.59</v>
      </c>
      <c r="D57" s="19" t="str">
        <f t="shared" si="11"/>
        <v>5.95</v>
      </c>
      <c r="E57" s="8">
        <f t="shared" si="10"/>
        <v>176</v>
      </c>
      <c r="L57">
        <v>0</v>
      </c>
    </row>
    <row r="58" spans="1:5">
      <c r="A58" s="22">
        <v>45943</v>
      </c>
      <c r="B58" s="23" t="s">
        <v>136</v>
      </c>
      <c r="C58" s="23">
        <v>380.01</v>
      </c>
      <c r="D58" s="19" t="str">
        <f t="shared" si="11"/>
        <v>5.75</v>
      </c>
      <c r="E58" s="8">
        <f t="shared" si="10"/>
        <v>2185</v>
      </c>
    </row>
    <row r="59" spans="1:5">
      <c r="A59" s="22">
        <v>45943</v>
      </c>
      <c r="B59" s="23" t="s">
        <v>135</v>
      </c>
      <c r="C59" s="23">
        <v>80.47</v>
      </c>
      <c r="D59" s="19" t="str">
        <f t="shared" si="11"/>
        <v>5.95</v>
      </c>
      <c r="E59" s="8">
        <f t="shared" si="10"/>
        <v>478</v>
      </c>
    </row>
    <row r="60" spans="1:5">
      <c r="A60" s="22">
        <v>45943</v>
      </c>
      <c r="B60" s="23" t="s">
        <v>132</v>
      </c>
      <c r="C60" s="23">
        <v>98.45</v>
      </c>
      <c r="D60" s="19" t="str">
        <f t="shared" si="11"/>
        <v>5.95</v>
      </c>
      <c r="E60" s="8">
        <f t="shared" si="10"/>
        <v>585</v>
      </c>
    </row>
    <row r="61" spans="5:5">
      <c r="E61">
        <f>SUM(E51:E60)</f>
        <v>6867</v>
      </c>
    </row>
  </sheetData>
  <conditionalFormatting sqref="H8">
    <cfRule type="duplicateValues" dxfId="1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L57"/>
  <sheetViews>
    <sheetView workbookViewId="0">
      <selection activeCell="L2" sqref="L2:L5"/>
    </sheetView>
  </sheetViews>
  <sheetFormatPr defaultColWidth="9" defaultRowHeight="14.25"/>
  <sheetData>
    <row r="1" ht="22.5" spans="1:8">
      <c r="A1" s="116" t="s">
        <v>0</v>
      </c>
      <c r="B1" s="39" t="s">
        <v>166</v>
      </c>
      <c r="C1" s="40"/>
      <c r="D1" s="76"/>
      <c r="E1" s="26" t="s">
        <v>2</v>
      </c>
      <c r="F1" s="13"/>
      <c r="G1" s="6"/>
      <c r="H1" s="125"/>
    </row>
    <row r="2" spans="1:12">
      <c r="A2" s="128" t="s">
        <v>167</v>
      </c>
      <c r="B2" s="8" t="s">
        <v>168</v>
      </c>
      <c r="C2" s="9" t="s">
        <v>169</v>
      </c>
      <c r="D2" s="128" t="s">
        <v>170</v>
      </c>
      <c r="E2" s="13"/>
      <c r="F2" s="13"/>
      <c r="G2" s="13"/>
      <c r="H2" s="46"/>
      <c r="K2" t="str" cm="1">
        <f t="array" ref="K2:K57">_xlfn.TOCOL(A2:G9)</f>
        <v>粤D056K1</v>
      </c>
      <c r="L2" t="s">
        <v>167</v>
      </c>
    </row>
    <row r="3" spans="1:12">
      <c r="A3" s="13"/>
      <c r="C3" s="8"/>
      <c r="D3" s="8"/>
      <c r="F3" s="13"/>
      <c r="G3" s="8"/>
      <c r="H3" s="46"/>
      <c r="K3" t="str">
        <v>粤D21318</v>
      </c>
      <c r="L3" t="s">
        <v>168</v>
      </c>
    </row>
    <row r="4" spans="1:12">
      <c r="A4" s="13"/>
      <c r="B4" s="8"/>
      <c r="C4" s="8"/>
      <c r="D4" s="8"/>
      <c r="E4" s="8"/>
      <c r="F4" s="13"/>
      <c r="G4" s="8"/>
      <c r="H4" s="46"/>
      <c r="K4" t="str">
        <v>粤MY3522</v>
      </c>
      <c r="L4" t="s">
        <v>169</v>
      </c>
    </row>
    <row r="5" spans="1:12">
      <c r="A5" s="13"/>
      <c r="B5" s="8"/>
      <c r="C5" s="8"/>
      <c r="D5" s="8"/>
      <c r="E5" s="13"/>
      <c r="F5" s="8"/>
      <c r="G5" s="8"/>
      <c r="H5" s="46"/>
      <c r="K5" t="str">
        <v>粤D3169M</v>
      </c>
      <c r="L5" t="s">
        <v>170</v>
      </c>
    </row>
    <row r="6" spans="1:11">
      <c r="A6" s="13"/>
      <c r="B6" s="13"/>
      <c r="C6" s="13"/>
      <c r="D6" s="13"/>
      <c r="E6" s="13"/>
      <c r="F6" s="13"/>
      <c r="G6" s="13"/>
      <c r="H6" s="46"/>
      <c r="K6">
        <v>0</v>
      </c>
    </row>
    <row r="7" spans="1:11">
      <c r="A7" s="13"/>
      <c r="B7" s="13"/>
      <c r="C7" s="13"/>
      <c r="D7" s="13"/>
      <c r="E7" s="45"/>
      <c r="F7" s="56"/>
      <c r="G7" s="13"/>
      <c r="H7" s="46"/>
      <c r="K7">
        <v>0</v>
      </c>
    </row>
    <row r="8" spans="1:11">
      <c r="A8" s="13"/>
      <c r="B8" s="13"/>
      <c r="C8" s="13"/>
      <c r="D8" s="13"/>
      <c r="E8" s="13"/>
      <c r="F8" s="13"/>
      <c r="G8" s="13"/>
      <c r="H8" s="46"/>
      <c r="K8">
        <v>0</v>
      </c>
    </row>
    <row r="9" spans="1:11">
      <c r="A9" s="13"/>
      <c r="B9" s="13"/>
      <c r="C9" s="13"/>
      <c r="D9" s="13"/>
      <c r="E9" s="13"/>
      <c r="F9" s="13"/>
      <c r="G9" s="13"/>
      <c r="H9" s="46"/>
      <c r="K9">
        <v>0</v>
      </c>
    </row>
    <row r="10" spans="1:11">
      <c r="A10" s="13"/>
      <c r="B10" s="13"/>
      <c r="C10" s="40"/>
      <c r="D10" s="13"/>
      <c r="E10" s="13"/>
      <c r="F10" s="13"/>
      <c r="G10" s="76"/>
      <c r="H10" s="46"/>
      <c r="K10">
        <v>0</v>
      </c>
    </row>
    <row r="11" spans="11:11">
      <c r="K11">
        <v>0</v>
      </c>
    </row>
    <row r="12" spans="1:11">
      <c r="A12" s="17" t="s">
        <v>35</v>
      </c>
      <c r="B12" s="17" t="s">
        <v>36</v>
      </c>
      <c r="C12" s="127" t="s">
        <v>37</v>
      </c>
      <c r="D12" s="17" t="s">
        <v>38</v>
      </c>
      <c r="E12" s="17" t="s">
        <v>39</v>
      </c>
      <c r="F12" s="17" t="s">
        <v>40</v>
      </c>
      <c r="G12" s="17" t="s">
        <v>40</v>
      </c>
      <c r="H12" s="17" t="s">
        <v>40</v>
      </c>
      <c r="K12">
        <v>0</v>
      </c>
    </row>
    <row r="13" spans="1:11">
      <c r="A13" s="8"/>
      <c r="B13" s="8"/>
      <c r="C13" s="8"/>
      <c r="D13" s="8"/>
      <c r="E13" s="8">
        <f t="shared" ref="E13" si="0">INT(C13*D13)</f>
        <v>0</v>
      </c>
      <c r="F13" s="8"/>
      <c r="G13" s="8"/>
      <c r="H13" s="8"/>
      <c r="K13">
        <v>0</v>
      </c>
    </row>
    <row r="14" spans="1:11">
      <c r="A14" s="8"/>
      <c r="B14" s="8"/>
      <c r="C14" s="8"/>
      <c r="D14" s="8"/>
      <c r="E14" s="8"/>
      <c r="F14" s="8"/>
      <c r="G14" s="8"/>
      <c r="H14" s="8"/>
      <c r="K14">
        <v>0</v>
      </c>
    </row>
    <row r="15" spans="1:11">
      <c r="A15" s="8"/>
      <c r="B15" s="8"/>
      <c r="C15" s="8"/>
      <c r="D15" s="8"/>
      <c r="E15" s="8"/>
      <c r="F15" s="8"/>
      <c r="G15" s="8"/>
      <c r="H15" s="8"/>
      <c r="K15">
        <v>0</v>
      </c>
    </row>
    <row r="16" spans="1:11">
      <c r="A16" s="8"/>
      <c r="B16" s="8"/>
      <c r="C16" s="8"/>
      <c r="D16" s="8"/>
      <c r="E16" s="8"/>
      <c r="F16" s="8"/>
      <c r="G16" s="8"/>
      <c r="H16" s="8"/>
      <c r="K16">
        <v>0</v>
      </c>
    </row>
    <row r="17" spans="1:11">
      <c r="A17" s="8"/>
      <c r="B17" s="8"/>
      <c r="C17" s="8"/>
      <c r="D17" s="8"/>
      <c r="E17" s="8"/>
      <c r="F17" s="8"/>
      <c r="G17" s="8"/>
      <c r="H17" s="8"/>
      <c r="K17">
        <v>0</v>
      </c>
    </row>
    <row r="18" spans="1:11">
      <c r="A18" s="8"/>
      <c r="B18" s="8"/>
      <c r="C18" s="8"/>
      <c r="D18" s="8"/>
      <c r="E18" s="8"/>
      <c r="F18" s="8"/>
      <c r="G18" s="8"/>
      <c r="H18" s="8"/>
      <c r="K18">
        <v>0</v>
      </c>
    </row>
    <row r="19" spans="1:11">
      <c r="A19" s="8"/>
      <c r="B19" s="8"/>
      <c r="C19" s="8"/>
      <c r="D19" s="8"/>
      <c r="E19" s="8"/>
      <c r="F19" s="8"/>
      <c r="G19" s="8"/>
      <c r="H19" s="8"/>
      <c r="K19">
        <v>0</v>
      </c>
    </row>
    <row r="20" spans="1:11">
      <c r="A20" s="8"/>
      <c r="B20" s="8"/>
      <c r="C20" s="8"/>
      <c r="D20" s="8"/>
      <c r="E20" s="8"/>
      <c r="F20" s="8"/>
      <c r="G20" s="8"/>
      <c r="H20" s="8"/>
      <c r="K20">
        <v>0</v>
      </c>
    </row>
    <row r="21" spans="1:11">
      <c r="A21" s="8"/>
      <c r="B21" s="8"/>
      <c r="C21" s="8"/>
      <c r="D21" s="8"/>
      <c r="E21" s="8"/>
      <c r="F21" s="8"/>
      <c r="G21" s="8"/>
      <c r="H21" s="8"/>
      <c r="K21">
        <v>0</v>
      </c>
    </row>
    <row r="22" spans="1:11">
      <c r="A22" s="8"/>
      <c r="B22" s="8"/>
      <c r="C22" s="8"/>
      <c r="D22" s="8"/>
      <c r="E22" s="8"/>
      <c r="F22" s="8"/>
      <c r="G22" s="8"/>
      <c r="H22" s="8"/>
      <c r="K22">
        <v>0</v>
      </c>
    </row>
    <row r="23" spans="11:11">
      <c r="K23">
        <v>0</v>
      </c>
    </row>
    <row r="24" spans="11:11">
      <c r="K24">
        <v>0</v>
      </c>
    </row>
    <row r="25" spans="11:11">
      <c r="K25">
        <v>0</v>
      </c>
    </row>
    <row r="26" spans="11:11">
      <c r="K26">
        <v>0</v>
      </c>
    </row>
    <row r="27" spans="11:11">
      <c r="K27">
        <v>0</v>
      </c>
    </row>
    <row r="28" spans="11:11">
      <c r="K28">
        <v>0</v>
      </c>
    </row>
    <row r="29" spans="11:11">
      <c r="K29">
        <v>0</v>
      </c>
    </row>
    <row r="30" spans="11:11">
      <c r="K30">
        <v>0</v>
      </c>
    </row>
    <row r="31" spans="11:11">
      <c r="K31">
        <v>0</v>
      </c>
    </row>
    <row r="32" spans="11:11">
      <c r="K32">
        <v>0</v>
      </c>
    </row>
    <row r="33" spans="11:11">
      <c r="K33">
        <v>0</v>
      </c>
    </row>
    <row r="34" spans="11:11">
      <c r="K34">
        <v>0</v>
      </c>
    </row>
    <row r="35" spans="11:11">
      <c r="K35">
        <v>0</v>
      </c>
    </row>
    <row r="36" spans="11:11">
      <c r="K36">
        <v>0</v>
      </c>
    </row>
    <row r="37" spans="11:11">
      <c r="K37">
        <v>0</v>
      </c>
    </row>
    <row r="38" spans="11:11">
      <c r="K38">
        <v>0</v>
      </c>
    </row>
    <row r="39" spans="11:11">
      <c r="K39">
        <v>0</v>
      </c>
    </row>
    <row r="40" spans="11:11">
      <c r="K40">
        <v>0</v>
      </c>
    </row>
    <row r="41" spans="11:11">
      <c r="K41">
        <v>0</v>
      </c>
    </row>
    <row r="42" spans="11:11">
      <c r="K42">
        <v>0</v>
      </c>
    </row>
    <row r="43" spans="11:11">
      <c r="K43">
        <v>0</v>
      </c>
    </row>
    <row r="44" spans="11:11">
      <c r="K44">
        <v>0</v>
      </c>
    </row>
    <row r="45" spans="11:11">
      <c r="K45">
        <v>0</v>
      </c>
    </row>
    <row r="46" spans="11:11">
      <c r="K46">
        <v>0</v>
      </c>
    </row>
    <row r="47" spans="11:11">
      <c r="K47">
        <v>0</v>
      </c>
    </row>
    <row r="48" spans="11:11">
      <c r="K48">
        <v>0</v>
      </c>
    </row>
    <row r="49" spans="11:11">
      <c r="K49">
        <v>0</v>
      </c>
    </row>
    <row r="50" spans="11:11">
      <c r="K50">
        <v>0</v>
      </c>
    </row>
    <row r="51" spans="11:11">
      <c r="K51">
        <v>0</v>
      </c>
    </row>
    <row r="52" spans="11:11">
      <c r="K52">
        <v>0</v>
      </c>
    </row>
    <row r="53" spans="11:11">
      <c r="K53">
        <v>0</v>
      </c>
    </row>
    <row r="54" spans="11:11">
      <c r="K54">
        <v>0</v>
      </c>
    </row>
    <row r="55" spans="11:11">
      <c r="K55">
        <v>0</v>
      </c>
    </row>
    <row r="56" spans="11:11">
      <c r="K56">
        <v>0</v>
      </c>
    </row>
    <row r="57" spans="11:11">
      <c r="K57">
        <v>0</v>
      </c>
    </row>
  </sheetData>
  <conditionalFormatting sqref="H9">
    <cfRule type="duplicateValues" dxfId="1" priority="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M56"/>
  <sheetViews>
    <sheetView workbookViewId="0">
      <selection activeCell="A21" sqref="A21:E24"/>
    </sheetView>
  </sheetViews>
  <sheetFormatPr defaultColWidth="9" defaultRowHeight="14.25"/>
  <cols>
    <col min="1" max="1" width="10.0666666666667" customWidth="1"/>
  </cols>
  <sheetData>
    <row r="1" ht="22.5" spans="1:13">
      <c r="A1" s="116" t="s">
        <v>0</v>
      </c>
      <c r="B1" s="39" t="s">
        <v>171</v>
      </c>
      <c r="C1" s="40"/>
      <c r="D1" s="76"/>
      <c r="E1" s="26">
        <v>5.85</v>
      </c>
      <c r="F1" s="13"/>
      <c r="G1" s="6"/>
      <c r="H1" s="125"/>
      <c r="L1" t="str" cm="1">
        <f t="array" ref="L1:L56">_xlfn.TOCOL(A2:G9)</f>
        <v>桂P00281</v>
      </c>
      <c r="M1" t="s">
        <v>172</v>
      </c>
    </row>
    <row r="2" spans="1:13">
      <c r="A2" s="126" t="s">
        <v>172</v>
      </c>
      <c r="B2" s="126" t="s">
        <v>173</v>
      </c>
      <c r="C2" s="126" t="s">
        <v>174</v>
      </c>
      <c r="D2" s="126" t="s">
        <v>175</v>
      </c>
      <c r="E2" s="126" t="s">
        <v>176</v>
      </c>
      <c r="G2" s="8"/>
      <c r="H2" s="46"/>
      <c r="L2" t="str">
        <v>桂P55530</v>
      </c>
      <c r="M2" t="s">
        <v>173</v>
      </c>
    </row>
    <row r="3" spans="1:13">
      <c r="A3" s="13"/>
      <c r="B3" s="8"/>
      <c r="C3" s="8"/>
      <c r="D3" s="8"/>
      <c r="E3" s="8"/>
      <c r="F3" s="13"/>
      <c r="G3" s="8"/>
      <c r="H3" s="46"/>
      <c r="L3" t="str">
        <v>粤V197F5</v>
      </c>
      <c r="M3" t="s">
        <v>174</v>
      </c>
    </row>
    <row r="4" spans="1:13">
      <c r="A4" s="13"/>
      <c r="B4" s="8"/>
      <c r="C4" s="8"/>
      <c r="D4" s="8"/>
      <c r="E4" s="13"/>
      <c r="F4" s="8"/>
      <c r="G4" s="8"/>
      <c r="H4" s="46"/>
      <c r="L4" t="str">
        <v>粤V692C5</v>
      </c>
      <c r="M4" t="s">
        <v>175</v>
      </c>
    </row>
    <row r="5" spans="1:13">
      <c r="A5" s="13"/>
      <c r="B5" s="13"/>
      <c r="C5" s="13"/>
      <c r="D5" s="13"/>
      <c r="E5" s="13"/>
      <c r="F5" s="13"/>
      <c r="G5" s="13"/>
      <c r="H5" s="46"/>
      <c r="L5" t="str">
        <v>粤V763F6</v>
      </c>
      <c r="M5" t="s">
        <v>176</v>
      </c>
    </row>
    <row r="6" spans="1:12">
      <c r="A6" s="13"/>
      <c r="B6" s="13"/>
      <c r="C6" s="13"/>
      <c r="D6" s="13"/>
      <c r="E6" s="45"/>
      <c r="F6" s="56"/>
      <c r="G6" s="13"/>
      <c r="H6" s="46"/>
      <c r="L6">
        <v>0</v>
      </c>
    </row>
    <row r="7" spans="1:12">
      <c r="A7" s="13"/>
      <c r="B7" s="13"/>
      <c r="C7" s="13"/>
      <c r="D7" s="13"/>
      <c r="E7" s="13"/>
      <c r="F7" s="13"/>
      <c r="G7" s="13"/>
      <c r="H7" s="46"/>
      <c r="L7">
        <v>0</v>
      </c>
    </row>
    <row r="8" spans="1:12">
      <c r="A8" s="13"/>
      <c r="B8" s="13"/>
      <c r="C8" s="13"/>
      <c r="D8" s="13"/>
      <c r="E8" s="13"/>
      <c r="F8" s="13"/>
      <c r="G8" s="13"/>
      <c r="H8" s="46"/>
      <c r="L8">
        <v>0</v>
      </c>
    </row>
    <row r="9" spans="1:12">
      <c r="A9" s="13"/>
      <c r="B9" s="13"/>
      <c r="C9" s="40"/>
      <c r="D9" s="13"/>
      <c r="E9" s="13"/>
      <c r="F9" s="13"/>
      <c r="G9" s="76"/>
      <c r="H9" s="46"/>
      <c r="L9">
        <v>0</v>
      </c>
    </row>
    <row r="10" spans="12:12">
      <c r="L10">
        <v>0</v>
      </c>
    </row>
    <row r="11" spans="1:12">
      <c r="A11" s="17" t="s">
        <v>35</v>
      </c>
      <c r="B11" s="17" t="s">
        <v>36</v>
      </c>
      <c r="C11" s="127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22">
        <v>45931</v>
      </c>
      <c r="B12" s="23" t="s">
        <v>177</v>
      </c>
      <c r="C12" s="23">
        <v>53.26</v>
      </c>
      <c r="D12" s="115">
        <v>5.85</v>
      </c>
      <c r="E12" s="8">
        <f t="shared" ref="E12:E15" si="0">INT(C12*D12)</f>
        <v>311</v>
      </c>
      <c r="L12">
        <v>0</v>
      </c>
    </row>
    <row r="13" spans="1:12">
      <c r="A13" s="22">
        <v>45931</v>
      </c>
      <c r="B13" s="23" t="s">
        <v>178</v>
      </c>
      <c r="C13" s="23">
        <v>560</v>
      </c>
      <c r="D13" s="115">
        <v>5.85</v>
      </c>
      <c r="E13" s="8">
        <f t="shared" si="0"/>
        <v>3276</v>
      </c>
      <c r="L13">
        <v>0</v>
      </c>
    </row>
    <row r="14" spans="1:12">
      <c r="A14" s="22">
        <v>45934</v>
      </c>
      <c r="B14" s="23" t="s">
        <v>179</v>
      </c>
      <c r="C14" s="23">
        <v>530</v>
      </c>
      <c r="D14" s="115">
        <v>5.85</v>
      </c>
      <c r="E14" s="8">
        <f t="shared" si="0"/>
        <v>3100</v>
      </c>
      <c r="L14">
        <v>0</v>
      </c>
    </row>
    <row r="15" spans="1:12">
      <c r="A15" s="22">
        <v>45934</v>
      </c>
      <c r="B15" s="23" t="s">
        <v>180</v>
      </c>
      <c r="C15" s="23">
        <v>103</v>
      </c>
      <c r="D15" s="115">
        <v>5.85</v>
      </c>
      <c r="E15" s="8">
        <f t="shared" si="0"/>
        <v>602</v>
      </c>
      <c r="L15">
        <v>0</v>
      </c>
    </row>
    <row r="16" spans="4:12">
      <c r="D16" s="115"/>
      <c r="E16" s="8"/>
      <c r="F16">
        <f>SUM(E14:E15)</f>
        <v>3702</v>
      </c>
      <c r="L16">
        <v>0</v>
      </c>
    </row>
    <row r="17" spans="1:12">
      <c r="A17" s="22">
        <v>45935</v>
      </c>
      <c r="B17" s="23" t="s">
        <v>181</v>
      </c>
      <c r="C17" s="23">
        <v>62.69</v>
      </c>
      <c r="D17" s="115">
        <v>5.85</v>
      </c>
      <c r="E17" s="8">
        <f t="shared" ref="E17:E23" si="1">INT(C17*D17)</f>
        <v>366</v>
      </c>
      <c r="L17">
        <v>0</v>
      </c>
    </row>
    <row r="18" spans="1:12">
      <c r="A18" s="22">
        <v>45938</v>
      </c>
      <c r="B18" s="23" t="s">
        <v>178</v>
      </c>
      <c r="C18" s="23">
        <v>570</v>
      </c>
      <c r="D18" s="115">
        <v>5.85</v>
      </c>
      <c r="E18" s="8">
        <f t="shared" si="1"/>
        <v>3334</v>
      </c>
      <c r="L18">
        <v>0</v>
      </c>
    </row>
    <row r="19" spans="1:12">
      <c r="A19" s="22">
        <v>45939</v>
      </c>
      <c r="B19" s="23" t="s">
        <v>177</v>
      </c>
      <c r="C19" s="23">
        <v>59.77</v>
      </c>
      <c r="D19" s="115">
        <v>5.85</v>
      </c>
      <c r="E19" s="8">
        <f t="shared" si="1"/>
        <v>349</v>
      </c>
      <c r="L19">
        <v>0</v>
      </c>
    </row>
    <row r="20" spans="4:12">
      <c r="D20" s="115"/>
      <c r="E20" s="8">
        <f t="shared" si="1"/>
        <v>0</v>
      </c>
      <c r="F20">
        <f>SUM(E17:E19)</f>
        <v>4049</v>
      </c>
      <c r="L20">
        <v>0</v>
      </c>
    </row>
    <row r="21" spans="1:12">
      <c r="A21" s="22">
        <v>45941</v>
      </c>
      <c r="B21" s="23" t="s">
        <v>172</v>
      </c>
      <c r="C21" s="23">
        <v>580</v>
      </c>
      <c r="D21" s="115">
        <v>5.75</v>
      </c>
      <c r="E21" s="8">
        <f t="shared" si="1"/>
        <v>3335</v>
      </c>
      <c r="L21">
        <v>0</v>
      </c>
    </row>
    <row r="22" spans="1:12">
      <c r="A22" s="22">
        <v>45942</v>
      </c>
      <c r="B22" s="23" t="s">
        <v>175</v>
      </c>
      <c r="C22" s="23">
        <v>100.89</v>
      </c>
      <c r="D22" s="115">
        <v>5.75</v>
      </c>
      <c r="E22" s="8">
        <f t="shared" si="1"/>
        <v>580</v>
      </c>
      <c r="L22">
        <v>0</v>
      </c>
    </row>
    <row r="23" spans="1:12">
      <c r="A23" s="22">
        <v>45942</v>
      </c>
      <c r="B23" s="23" t="s">
        <v>173</v>
      </c>
      <c r="C23" s="23">
        <v>514</v>
      </c>
      <c r="D23" s="115">
        <v>5.75</v>
      </c>
      <c r="E23" s="8">
        <f t="shared" si="1"/>
        <v>2955</v>
      </c>
      <c r="L23">
        <v>0</v>
      </c>
    </row>
    <row r="24" spans="5:12">
      <c r="E24">
        <f>SUM(E21:E23)</f>
        <v>6870</v>
      </c>
      <c r="L24">
        <v>0</v>
      </c>
    </row>
    <row r="25" spans="12:12">
      <c r="L25">
        <v>0</v>
      </c>
    </row>
    <row r="26" spans="12:12">
      <c r="L26">
        <v>0</v>
      </c>
    </row>
    <row r="27" spans="12:12">
      <c r="L27">
        <v>0</v>
      </c>
    </row>
    <row r="28" spans="12:12">
      <c r="L28">
        <v>0</v>
      </c>
    </row>
    <row r="29" spans="12:12">
      <c r="L29">
        <v>0</v>
      </c>
    </row>
    <row r="30" spans="12:12"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conditionalFormatting sqref="H8">
    <cfRule type="duplicateValues" dxfId="1" priority="1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M56"/>
  <sheetViews>
    <sheetView workbookViewId="0">
      <selection activeCell="M1" sqref="M1:M6"/>
    </sheetView>
  </sheetViews>
  <sheetFormatPr defaultColWidth="9" defaultRowHeight="14.25"/>
  <sheetData>
    <row r="1" ht="22.5" spans="1:13">
      <c r="A1" s="70" t="s">
        <v>0</v>
      </c>
      <c r="B1" s="121" t="s">
        <v>182</v>
      </c>
      <c r="C1" s="72"/>
      <c r="D1" s="122"/>
      <c r="E1" s="84">
        <v>5.85</v>
      </c>
      <c r="F1" s="123"/>
      <c r="L1" t="str" cm="1">
        <f t="array" ref="L1:L56">_xlfn.TOCOL(A2:G9)</f>
        <v>赣M68158</v>
      </c>
      <c r="M1" t="s">
        <v>183</v>
      </c>
    </row>
    <row r="2" spans="1:13">
      <c r="A2" s="76" t="s">
        <v>183</v>
      </c>
      <c r="B2" s="76" t="s">
        <v>184</v>
      </c>
      <c r="C2" s="76" t="s">
        <v>185</v>
      </c>
      <c r="D2" s="113" t="s">
        <v>186</v>
      </c>
      <c r="E2" s="76" t="s">
        <v>187</v>
      </c>
      <c r="F2" s="76" t="s">
        <v>188</v>
      </c>
      <c r="G2" s="8"/>
      <c r="L2" t="str">
        <v>赣M69808</v>
      </c>
      <c r="M2" t="s">
        <v>184</v>
      </c>
    </row>
    <row r="3" spans="1:13">
      <c r="A3" s="13"/>
      <c r="B3" s="8"/>
      <c r="C3" s="8"/>
      <c r="D3" s="8"/>
      <c r="E3" s="8"/>
      <c r="F3" s="76"/>
      <c r="G3" s="8"/>
      <c r="L3" t="str">
        <v>赣M32396</v>
      </c>
      <c r="M3" t="s">
        <v>185</v>
      </c>
    </row>
    <row r="4" spans="1:13">
      <c r="A4" s="13"/>
      <c r="B4" s="8"/>
      <c r="C4" s="8"/>
      <c r="D4" s="8"/>
      <c r="E4" s="8"/>
      <c r="F4" s="13"/>
      <c r="G4" s="8"/>
      <c r="L4" t="str">
        <v>粤BGC255</v>
      </c>
      <c r="M4" t="s">
        <v>186</v>
      </c>
    </row>
    <row r="5" spans="1:13">
      <c r="A5" s="13"/>
      <c r="B5" s="13"/>
      <c r="C5" s="15"/>
      <c r="D5" s="13"/>
      <c r="E5" s="13"/>
      <c r="F5" s="13"/>
      <c r="G5" s="8"/>
      <c r="L5" t="str">
        <v>赣M95300</v>
      </c>
      <c r="M5" t="s">
        <v>187</v>
      </c>
    </row>
    <row r="6" spans="1:13">
      <c r="A6" s="13"/>
      <c r="B6" s="13"/>
      <c r="C6" s="15"/>
      <c r="D6" s="13"/>
      <c r="E6" s="13"/>
      <c r="F6" s="13"/>
      <c r="G6" s="8"/>
      <c r="L6" t="str">
        <v>赣AM0017</v>
      </c>
      <c r="M6" t="s">
        <v>188</v>
      </c>
    </row>
    <row r="7" spans="1:12">
      <c r="A7" s="8"/>
      <c r="B7" s="8"/>
      <c r="C7" s="8"/>
      <c r="D7" s="8"/>
      <c r="E7" s="8"/>
      <c r="F7" s="8"/>
      <c r="G7" s="8"/>
      <c r="L7">
        <v>0</v>
      </c>
    </row>
    <row r="8" spans="1:12">
      <c r="A8" s="17"/>
      <c r="B8" s="17"/>
      <c r="C8" s="18"/>
      <c r="D8" s="17"/>
      <c r="E8" s="17"/>
      <c r="F8" s="17"/>
      <c r="G8" s="17"/>
      <c r="H8" s="65"/>
      <c r="L8">
        <v>0</v>
      </c>
    </row>
    <row r="9" spans="1:12">
      <c r="A9" s="17"/>
      <c r="B9" s="17"/>
      <c r="C9" s="18"/>
      <c r="D9" s="17"/>
      <c r="E9" s="17"/>
      <c r="F9" s="17"/>
      <c r="G9" s="17"/>
      <c r="H9" s="65"/>
      <c r="L9">
        <v>0</v>
      </c>
    </row>
    <row r="10" spans="1:12">
      <c r="A10" s="65"/>
      <c r="B10" s="65"/>
      <c r="C10" s="114"/>
      <c r="D10" s="65"/>
      <c r="E10" s="65"/>
      <c r="F10" s="65"/>
      <c r="G10" s="65"/>
      <c r="H10" s="65"/>
      <c r="L10">
        <v>0</v>
      </c>
    </row>
    <row r="11" spans="1:12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4:12">
      <c r="D12" s="8"/>
      <c r="E12" s="124">
        <f>INT(C12*D12)</f>
        <v>0</v>
      </c>
      <c r="L12">
        <v>0</v>
      </c>
    </row>
    <row r="13" spans="12:12">
      <c r="L13">
        <v>0</v>
      </c>
    </row>
    <row r="14" spans="12:12">
      <c r="L14">
        <v>0</v>
      </c>
    </row>
    <row r="15" spans="12:12">
      <c r="L15">
        <v>0</v>
      </c>
    </row>
    <row r="16" spans="12:12">
      <c r="L16">
        <v>0</v>
      </c>
    </row>
    <row r="17" spans="12:12">
      <c r="L17">
        <v>0</v>
      </c>
    </row>
    <row r="18" spans="12:12">
      <c r="L18">
        <v>0</v>
      </c>
    </row>
    <row r="19" spans="12:12">
      <c r="L19">
        <v>0</v>
      </c>
    </row>
    <row r="20" spans="12:12">
      <c r="L20">
        <v>0</v>
      </c>
    </row>
    <row r="21" spans="12:12">
      <c r="L21">
        <v>0</v>
      </c>
    </row>
    <row r="22" spans="12:12">
      <c r="L22">
        <v>0</v>
      </c>
    </row>
    <row r="23" spans="12:12">
      <c r="L23">
        <v>0</v>
      </c>
    </row>
    <row r="24" spans="12:12">
      <c r="L24">
        <v>0</v>
      </c>
    </row>
    <row r="25" spans="12:12">
      <c r="L25">
        <v>0</v>
      </c>
    </row>
    <row r="26" spans="12:12">
      <c r="L26">
        <v>0</v>
      </c>
    </row>
    <row r="27" spans="12:12">
      <c r="L27">
        <v>0</v>
      </c>
    </row>
    <row r="28" spans="12:12">
      <c r="L28">
        <v>0</v>
      </c>
    </row>
    <row r="29" spans="12:12">
      <c r="L29">
        <v>0</v>
      </c>
    </row>
    <row r="30" spans="12:12"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M58"/>
  <sheetViews>
    <sheetView workbookViewId="0">
      <selection activeCell="A27" sqref="A27:E30"/>
    </sheetView>
  </sheetViews>
  <sheetFormatPr defaultColWidth="9" defaultRowHeight="14.25"/>
  <cols>
    <col min="1" max="1" width="12.25" customWidth="1"/>
    <col min="5" max="5" width="9.375"/>
  </cols>
  <sheetData>
    <row r="1" ht="20.25" spans="1:9">
      <c r="A1" s="116" t="s">
        <v>0</v>
      </c>
      <c r="B1" s="117" t="s">
        <v>189</v>
      </c>
      <c r="C1" s="53"/>
      <c r="D1" s="76"/>
      <c r="E1" s="41">
        <v>5.85</v>
      </c>
      <c r="F1" s="42"/>
      <c r="G1" s="80"/>
      <c r="H1" s="80"/>
      <c r="I1" s="42"/>
    </row>
    <row r="2" spans="1:9">
      <c r="A2" s="13" t="s">
        <v>190</v>
      </c>
      <c r="B2" s="13" t="s">
        <v>191</v>
      </c>
      <c r="C2" s="15" t="s">
        <v>192</v>
      </c>
      <c r="D2" s="13" t="s">
        <v>193</v>
      </c>
      <c r="E2" s="76" t="s">
        <v>194</v>
      </c>
      <c r="F2" s="13" t="s">
        <v>195</v>
      </c>
      <c r="G2" s="13" t="s">
        <v>196</v>
      </c>
      <c r="H2" s="120" t="s">
        <v>197</v>
      </c>
      <c r="I2" s="13"/>
    </row>
    <row r="3" spans="1:13">
      <c r="A3" s="113" t="s">
        <v>198</v>
      </c>
      <c r="B3" s="13" t="s">
        <v>199</v>
      </c>
      <c r="C3" s="15" t="s">
        <v>200</v>
      </c>
      <c r="D3" s="13" t="s">
        <v>201</v>
      </c>
      <c r="E3" s="13" t="s">
        <v>202</v>
      </c>
      <c r="F3" s="13" t="s">
        <v>203</v>
      </c>
      <c r="G3" s="13" t="s">
        <v>204</v>
      </c>
      <c r="H3" s="46"/>
      <c r="I3" s="46"/>
      <c r="L3" t="str" cm="1">
        <f t="array" ref="L3:L58">_xlfn.TOCOL(A2:G9)</f>
        <v>粤MA3572</v>
      </c>
      <c r="M3" t="s">
        <v>190</v>
      </c>
    </row>
    <row r="4" spans="1:13">
      <c r="A4" s="13" t="s">
        <v>205</v>
      </c>
      <c r="B4" s="8"/>
      <c r="C4" s="8"/>
      <c r="D4" s="8"/>
      <c r="E4" s="13"/>
      <c r="F4" s="13"/>
      <c r="G4" s="13"/>
      <c r="H4" s="46"/>
      <c r="I4" s="46"/>
      <c r="L4" t="str">
        <v>粤VH6928</v>
      </c>
      <c r="M4" t="s">
        <v>191</v>
      </c>
    </row>
    <row r="5" spans="1:13">
      <c r="A5" s="13"/>
      <c r="B5" s="13"/>
      <c r="C5" s="15"/>
      <c r="D5" s="13"/>
      <c r="E5" s="13"/>
      <c r="F5" s="13"/>
      <c r="G5" s="13"/>
      <c r="H5" s="46"/>
      <c r="I5" s="46"/>
      <c r="L5" t="str">
        <v>粤V59565</v>
      </c>
      <c r="M5" t="s">
        <v>192</v>
      </c>
    </row>
    <row r="6" spans="1:13">
      <c r="A6" s="13"/>
      <c r="B6" s="13"/>
      <c r="C6" s="15"/>
      <c r="D6" s="13"/>
      <c r="E6" s="13"/>
      <c r="F6" s="13"/>
      <c r="G6" s="13"/>
      <c r="H6" s="46"/>
      <c r="I6" s="46"/>
      <c r="L6" t="str">
        <v>粤V05688</v>
      </c>
      <c r="M6" t="s">
        <v>193</v>
      </c>
    </row>
    <row r="7" spans="1:13">
      <c r="A7" s="13"/>
      <c r="B7" s="13"/>
      <c r="C7" s="15"/>
      <c r="D7" s="13"/>
      <c r="E7" s="13"/>
      <c r="F7" s="13"/>
      <c r="G7" s="13"/>
      <c r="H7" s="46"/>
      <c r="I7" s="46"/>
      <c r="L7" t="str">
        <v>粤VZ5876</v>
      </c>
      <c r="M7" t="s">
        <v>194</v>
      </c>
    </row>
    <row r="8" spans="1:13">
      <c r="A8" s="17"/>
      <c r="B8" s="17"/>
      <c r="C8" s="18"/>
      <c r="D8" s="17"/>
      <c r="E8" s="17"/>
      <c r="F8" s="17"/>
      <c r="G8" s="17"/>
      <c r="H8" s="65"/>
      <c r="I8" s="46"/>
      <c r="L8" t="str">
        <v>粤VN6192</v>
      </c>
      <c r="M8" t="s">
        <v>195</v>
      </c>
    </row>
    <row r="9" spans="1:13">
      <c r="A9" s="17"/>
      <c r="B9" s="17"/>
      <c r="C9" s="18"/>
      <c r="D9" s="17"/>
      <c r="E9" s="17"/>
      <c r="F9" s="17"/>
      <c r="G9" s="17"/>
      <c r="H9" s="65"/>
      <c r="I9" s="46"/>
      <c r="L9" t="str">
        <v>赣CN2832</v>
      </c>
      <c r="M9" t="s">
        <v>196</v>
      </c>
    </row>
    <row r="10" spans="1:13">
      <c r="A10" s="65"/>
      <c r="B10" s="65"/>
      <c r="C10" s="114"/>
      <c r="D10" s="65"/>
      <c r="E10" s="65"/>
      <c r="F10" s="65"/>
      <c r="G10" s="65"/>
      <c r="H10" s="65"/>
      <c r="I10" s="46"/>
      <c r="L10" t="str">
        <v>赣C1M572</v>
      </c>
      <c r="M10" t="s">
        <v>198</v>
      </c>
    </row>
    <row r="11" spans="1:13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I11" s="46"/>
      <c r="L11" t="str">
        <v>粤VA5288</v>
      </c>
      <c r="M11" t="s">
        <v>199</v>
      </c>
    </row>
    <row r="12" spans="1:13">
      <c r="A12" s="22">
        <v>45927</v>
      </c>
      <c r="B12" s="23" t="s">
        <v>206</v>
      </c>
      <c r="C12" s="23">
        <v>330</v>
      </c>
      <c r="D12" s="8">
        <v>5.75</v>
      </c>
      <c r="E12" s="118">
        <f t="shared" ref="E12:E17" si="0">INT(C12*D12)</f>
        <v>1897</v>
      </c>
      <c r="G12" s="111"/>
      <c r="L12" t="str">
        <v>粤V89116</v>
      </c>
      <c r="M12" t="s">
        <v>200</v>
      </c>
    </row>
    <row r="13" spans="1:13">
      <c r="A13" s="22">
        <v>45927</v>
      </c>
      <c r="B13" s="23" t="s">
        <v>207</v>
      </c>
      <c r="C13" s="23">
        <v>185.06</v>
      </c>
      <c r="D13" s="8">
        <v>5.75</v>
      </c>
      <c r="E13" s="118">
        <f t="shared" si="0"/>
        <v>1064</v>
      </c>
      <c r="L13" t="str">
        <v>赣K61863</v>
      </c>
      <c r="M13" t="s">
        <v>201</v>
      </c>
    </row>
    <row r="14" spans="1:13">
      <c r="A14" s="22">
        <v>45927</v>
      </c>
      <c r="B14" s="23" t="s">
        <v>208</v>
      </c>
      <c r="C14" s="23">
        <v>129.28</v>
      </c>
      <c r="D14" s="8">
        <v>5.75</v>
      </c>
      <c r="E14" s="118">
        <f t="shared" si="0"/>
        <v>743</v>
      </c>
      <c r="L14" t="str">
        <v>赣CN6326</v>
      </c>
      <c r="M14" t="s">
        <v>202</v>
      </c>
    </row>
    <row r="15" spans="1:13">
      <c r="A15" s="22">
        <v>45929</v>
      </c>
      <c r="B15" s="23" t="s">
        <v>209</v>
      </c>
      <c r="C15" s="23">
        <v>254</v>
      </c>
      <c r="D15" s="8">
        <v>5.85</v>
      </c>
      <c r="E15" s="118">
        <f t="shared" si="0"/>
        <v>1485</v>
      </c>
      <c r="L15" t="str">
        <v>粤VB8152</v>
      </c>
      <c r="M15" t="s">
        <v>203</v>
      </c>
    </row>
    <row r="16" spans="1:13">
      <c r="A16" s="22">
        <v>45932</v>
      </c>
      <c r="B16" s="23" t="s">
        <v>209</v>
      </c>
      <c r="C16" s="23">
        <v>276.53</v>
      </c>
      <c r="D16" s="8">
        <v>5.85</v>
      </c>
      <c r="E16" s="118">
        <f t="shared" si="0"/>
        <v>1617</v>
      </c>
      <c r="L16" t="str">
        <v>粤V13713</v>
      </c>
      <c r="M16" t="s">
        <v>204</v>
      </c>
    </row>
    <row r="17" spans="1:13">
      <c r="A17" s="22">
        <v>45933</v>
      </c>
      <c r="B17" s="23" t="s">
        <v>208</v>
      </c>
      <c r="C17" s="23">
        <v>127.39</v>
      </c>
      <c r="D17" s="8">
        <v>5.85</v>
      </c>
      <c r="E17" s="118">
        <f t="shared" si="0"/>
        <v>745</v>
      </c>
      <c r="L17" t="str">
        <v>赣CN6362</v>
      </c>
      <c r="M17" t="s">
        <v>205</v>
      </c>
    </row>
    <row r="18" spans="4:12">
      <c r="D18" s="8"/>
      <c r="E18" s="118"/>
      <c r="F18">
        <f>SUM(E16:E17)</f>
        <v>2362</v>
      </c>
      <c r="L18">
        <v>0</v>
      </c>
    </row>
    <row r="19" spans="1:12">
      <c r="A19" s="22">
        <v>45937</v>
      </c>
      <c r="B19" s="23" t="s">
        <v>206</v>
      </c>
      <c r="C19" s="23">
        <v>380</v>
      </c>
      <c r="D19" s="8">
        <v>5.85</v>
      </c>
      <c r="E19" s="118">
        <f t="shared" ref="E18:E25" si="1">INT(C19*D19)</f>
        <v>2223</v>
      </c>
      <c r="L19">
        <v>0</v>
      </c>
    </row>
    <row r="20" spans="1:12">
      <c r="A20" s="22">
        <v>45937</v>
      </c>
      <c r="B20" s="23" t="s">
        <v>210</v>
      </c>
      <c r="C20" s="23">
        <v>340</v>
      </c>
      <c r="D20" s="8">
        <v>5.85</v>
      </c>
      <c r="E20" s="118">
        <f t="shared" si="1"/>
        <v>1989</v>
      </c>
      <c r="L20">
        <v>0</v>
      </c>
    </row>
    <row r="21" spans="1:12">
      <c r="A21" s="22">
        <v>45938</v>
      </c>
      <c r="B21" s="23" t="s">
        <v>208</v>
      </c>
      <c r="C21" s="23">
        <v>85.51</v>
      </c>
      <c r="D21" s="8">
        <v>5.85</v>
      </c>
      <c r="E21" s="118">
        <f t="shared" si="1"/>
        <v>500</v>
      </c>
      <c r="L21">
        <v>0</v>
      </c>
    </row>
    <row r="22" spans="1:12">
      <c r="A22" s="22">
        <v>45939</v>
      </c>
      <c r="B22" s="23" t="s">
        <v>211</v>
      </c>
      <c r="C22" s="23">
        <v>400</v>
      </c>
      <c r="D22" s="8">
        <v>5.85</v>
      </c>
      <c r="E22" s="118">
        <f t="shared" si="1"/>
        <v>2340</v>
      </c>
      <c r="L22">
        <v>0</v>
      </c>
    </row>
    <row r="23" spans="1:12">
      <c r="A23" s="22">
        <v>45939</v>
      </c>
      <c r="B23" s="23" t="s">
        <v>212</v>
      </c>
      <c r="C23" s="23">
        <v>250</v>
      </c>
      <c r="D23" s="8">
        <v>5.85</v>
      </c>
      <c r="E23" s="118">
        <f t="shared" si="1"/>
        <v>1462</v>
      </c>
      <c r="L23">
        <v>0</v>
      </c>
    </row>
    <row r="24" spans="1:12">
      <c r="A24" s="22">
        <v>45940</v>
      </c>
      <c r="B24" s="23" t="s">
        <v>213</v>
      </c>
      <c r="C24" s="23">
        <v>217.28</v>
      </c>
      <c r="D24" s="8">
        <v>5.85</v>
      </c>
      <c r="E24" s="118">
        <f t="shared" si="1"/>
        <v>1271</v>
      </c>
      <c r="L24">
        <v>0</v>
      </c>
    </row>
    <row r="25" spans="1:12">
      <c r="A25" s="22">
        <v>45940</v>
      </c>
      <c r="B25" s="23" t="s">
        <v>209</v>
      </c>
      <c r="C25" s="23">
        <v>286.8</v>
      </c>
      <c r="D25" s="8">
        <v>5.85</v>
      </c>
      <c r="E25" s="118">
        <f t="shared" si="1"/>
        <v>1677</v>
      </c>
      <c r="L25">
        <v>0</v>
      </c>
    </row>
    <row r="26" spans="5:12">
      <c r="E26" s="118"/>
      <c r="F26">
        <f>SUM(E19:E25)</f>
        <v>11462</v>
      </c>
      <c r="L26">
        <v>0</v>
      </c>
    </row>
    <row r="27" spans="1:12">
      <c r="A27" s="22">
        <v>45941</v>
      </c>
      <c r="B27" s="23" t="s">
        <v>191</v>
      </c>
      <c r="C27" s="23">
        <v>189.13</v>
      </c>
      <c r="D27" s="8">
        <v>5.75</v>
      </c>
      <c r="E27" s="118">
        <f>INT(C27*D27)</f>
        <v>1087</v>
      </c>
      <c r="L27">
        <v>0</v>
      </c>
    </row>
    <row r="28" spans="1:12">
      <c r="A28" s="35">
        <v>45941</v>
      </c>
      <c r="B28" s="36" t="s">
        <v>205</v>
      </c>
      <c r="C28" s="23">
        <v>220</v>
      </c>
      <c r="D28" s="8">
        <v>5.75</v>
      </c>
      <c r="E28" s="118">
        <f>INT(C28*D28)</f>
        <v>1265</v>
      </c>
      <c r="L28">
        <v>0</v>
      </c>
    </row>
    <row r="29" spans="1:12">
      <c r="A29" s="22">
        <v>45942</v>
      </c>
      <c r="B29" s="23" t="s">
        <v>198</v>
      </c>
      <c r="C29" s="23">
        <v>370</v>
      </c>
      <c r="D29" s="8">
        <v>5.75</v>
      </c>
      <c r="E29" s="118">
        <f>INT(C29*D29)</f>
        <v>2127</v>
      </c>
      <c r="L29">
        <v>0</v>
      </c>
    </row>
    <row r="30" spans="5:12">
      <c r="E30">
        <f>SUM(E27:E29)</f>
        <v>4479</v>
      </c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  <row r="57" spans="12:12">
      <c r="L57">
        <v>0</v>
      </c>
    </row>
    <row r="58" spans="12:12">
      <c r="L58">
        <v>0</v>
      </c>
    </row>
  </sheetData>
  <mergeCells count="1">
    <mergeCell ref="G1:H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M56"/>
  <sheetViews>
    <sheetView topLeftCell="A15" workbookViewId="0">
      <selection activeCell="A46" sqref="A46:E52"/>
    </sheetView>
  </sheetViews>
  <sheetFormatPr defaultColWidth="9" defaultRowHeight="14.25"/>
  <cols>
    <col min="1" max="1" width="10.1333333333333" customWidth="1"/>
    <col min="5" max="6" width="10.375"/>
  </cols>
  <sheetData>
    <row r="1" ht="20.25" spans="1:13">
      <c r="A1" s="116" t="s">
        <v>0</v>
      </c>
      <c r="B1" s="117" t="s">
        <v>214</v>
      </c>
      <c r="C1" s="53"/>
      <c r="D1" s="76"/>
      <c r="E1" s="42">
        <v>5.95</v>
      </c>
      <c r="F1" s="42"/>
      <c r="G1" s="61"/>
      <c r="H1" s="44"/>
      <c r="L1" t="str" cm="1">
        <f t="array" ref="L1:L56">_xlfn.TOCOL(A2:G9)</f>
        <v>粤V510F2</v>
      </c>
      <c r="M1" t="s">
        <v>215</v>
      </c>
    </row>
    <row r="2" spans="1:13">
      <c r="A2" s="34" t="s">
        <v>215</v>
      </c>
      <c r="B2" s="75" t="s">
        <v>216</v>
      </c>
      <c r="C2" s="34" t="s">
        <v>217</v>
      </c>
      <c r="D2" s="34" t="s">
        <v>218</v>
      </c>
      <c r="E2" s="34" t="s">
        <v>219</v>
      </c>
      <c r="F2" s="13" t="s">
        <v>220</v>
      </c>
      <c r="G2" s="13"/>
      <c r="H2" s="46"/>
      <c r="L2" t="str">
        <v>粤V591G8</v>
      </c>
      <c r="M2" t="s">
        <v>216</v>
      </c>
    </row>
    <row r="3" spans="1:13">
      <c r="A3" s="13"/>
      <c r="B3" s="8"/>
      <c r="C3" s="8"/>
      <c r="D3" s="8"/>
      <c r="E3" s="8"/>
      <c r="F3" s="8"/>
      <c r="G3" s="13"/>
      <c r="H3" s="46"/>
      <c r="L3" t="str">
        <v>粤VQ5721</v>
      </c>
      <c r="M3" t="s">
        <v>217</v>
      </c>
    </row>
    <row r="4" spans="1:13">
      <c r="A4" s="13"/>
      <c r="B4" s="8"/>
      <c r="C4" s="15"/>
      <c r="D4" s="13"/>
      <c r="E4" s="76"/>
      <c r="F4" s="13"/>
      <c r="G4" s="13"/>
      <c r="H4" s="46"/>
      <c r="L4" t="str">
        <v>粤VL8309</v>
      </c>
      <c r="M4" t="s">
        <v>218</v>
      </c>
    </row>
    <row r="5" spans="1:13">
      <c r="A5" s="13"/>
      <c r="B5" s="13"/>
      <c r="C5" s="15"/>
      <c r="D5" s="13"/>
      <c r="E5" s="13"/>
      <c r="F5" s="13"/>
      <c r="G5" s="13"/>
      <c r="H5" s="46"/>
      <c r="L5" t="str">
        <v>粤VH9182</v>
      </c>
      <c r="M5" t="s">
        <v>219</v>
      </c>
    </row>
    <row r="6" spans="1:13">
      <c r="A6" s="13"/>
      <c r="B6" s="13"/>
      <c r="C6" s="15"/>
      <c r="D6" s="13"/>
      <c r="E6" s="13"/>
      <c r="F6" s="13"/>
      <c r="G6" s="13"/>
      <c r="H6" s="46"/>
      <c r="L6" t="str">
        <v>粤VUC963</v>
      </c>
      <c r="M6" t="s">
        <v>220</v>
      </c>
    </row>
    <row r="7" spans="1:12">
      <c r="A7" s="13"/>
      <c r="B7" s="13"/>
      <c r="C7" s="15"/>
      <c r="D7" s="13"/>
      <c r="E7" s="13"/>
      <c r="F7" s="13"/>
      <c r="G7" s="13"/>
      <c r="H7" s="46"/>
      <c r="L7">
        <v>0</v>
      </c>
    </row>
    <row r="8" spans="1:12">
      <c r="A8" s="13"/>
      <c r="B8" s="13"/>
      <c r="C8" s="15"/>
      <c r="D8" s="13"/>
      <c r="E8" s="13"/>
      <c r="F8" s="13"/>
      <c r="G8" s="13"/>
      <c r="H8" s="46"/>
      <c r="L8">
        <v>0</v>
      </c>
    </row>
    <row r="9" spans="1:12">
      <c r="A9" s="13"/>
      <c r="B9" s="13"/>
      <c r="C9" s="15"/>
      <c r="D9" s="13"/>
      <c r="E9" s="13"/>
      <c r="F9" s="13"/>
      <c r="G9" s="13"/>
      <c r="H9" s="46"/>
      <c r="L9">
        <v>0</v>
      </c>
    </row>
    <row r="10" spans="1:12">
      <c r="A10" s="65"/>
      <c r="B10" s="65"/>
      <c r="C10" s="114"/>
      <c r="D10" s="65"/>
      <c r="E10" s="65"/>
      <c r="F10" s="65"/>
      <c r="G10" s="65"/>
      <c r="H10" s="65"/>
      <c r="L10">
        <v>0</v>
      </c>
    </row>
    <row r="11" spans="1:12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22">
        <v>45923</v>
      </c>
      <c r="B12" s="23" t="s">
        <v>221</v>
      </c>
      <c r="C12" s="23">
        <v>66.19</v>
      </c>
      <c r="D12" s="115">
        <v>5.95</v>
      </c>
      <c r="E12" s="118">
        <f t="shared" ref="E12:E16" si="0">C12*D12</f>
        <v>393.8305</v>
      </c>
      <c r="L12">
        <v>0</v>
      </c>
    </row>
    <row r="13" spans="1:12">
      <c r="A13" s="22">
        <v>45925</v>
      </c>
      <c r="B13" s="23" t="s">
        <v>222</v>
      </c>
      <c r="C13" s="23">
        <v>89.99</v>
      </c>
      <c r="D13" s="115">
        <v>5.95</v>
      </c>
      <c r="E13" s="118">
        <f t="shared" si="0"/>
        <v>535.4405</v>
      </c>
      <c r="L13">
        <v>0</v>
      </c>
    </row>
    <row r="14" spans="1:12">
      <c r="A14" s="22">
        <v>45925</v>
      </c>
      <c r="B14" s="23" t="s">
        <v>223</v>
      </c>
      <c r="C14" s="23">
        <v>75.86</v>
      </c>
      <c r="D14" s="115">
        <v>5.95</v>
      </c>
      <c r="E14" s="118">
        <f t="shared" si="0"/>
        <v>451.367</v>
      </c>
      <c r="L14">
        <v>0</v>
      </c>
    </row>
    <row r="15" spans="1:12">
      <c r="A15" s="22">
        <v>45925</v>
      </c>
      <c r="B15" s="23" t="s">
        <v>224</v>
      </c>
      <c r="C15" s="23">
        <v>60.79</v>
      </c>
      <c r="D15" s="115">
        <v>5.95</v>
      </c>
      <c r="E15" s="118">
        <f t="shared" si="0"/>
        <v>361.7005</v>
      </c>
      <c r="L15">
        <v>0</v>
      </c>
    </row>
    <row r="16" spans="1:12">
      <c r="A16" s="22">
        <v>45925</v>
      </c>
      <c r="B16" s="23" t="s">
        <v>225</v>
      </c>
      <c r="C16" s="23">
        <v>141.07</v>
      </c>
      <c r="D16" s="115">
        <v>5.95</v>
      </c>
      <c r="E16" s="118">
        <f t="shared" si="0"/>
        <v>839.3665</v>
      </c>
      <c r="L16">
        <v>0</v>
      </c>
    </row>
    <row r="17" spans="1:12">
      <c r="A17" s="22">
        <v>45926</v>
      </c>
      <c r="B17" s="23" t="s">
        <v>226</v>
      </c>
      <c r="C17" s="23">
        <v>85.79</v>
      </c>
      <c r="D17" s="115">
        <v>5.95</v>
      </c>
      <c r="E17" s="118">
        <f t="shared" ref="E17:E23" si="1">C17*D17</f>
        <v>510.4505</v>
      </c>
      <c r="L17">
        <v>0</v>
      </c>
    </row>
    <row r="18" spans="1:12">
      <c r="A18" s="22">
        <v>45926</v>
      </c>
      <c r="B18" s="23" t="s">
        <v>221</v>
      </c>
      <c r="C18" s="23">
        <v>49.85</v>
      </c>
      <c r="D18" s="115">
        <v>5.95</v>
      </c>
      <c r="E18" s="118">
        <f t="shared" si="1"/>
        <v>296.6075</v>
      </c>
      <c r="L18">
        <v>0</v>
      </c>
    </row>
    <row r="19" spans="1:12">
      <c r="A19" s="22">
        <v>45927</v>
      </c>
      <c r="B19" s="23" t="s">
        <v>223</v>
      </c>
      <c r="C19" s="23">
        <v>50.8</v>
      </c>
      <c r="D19" s="115">
        <v>5.95</v>
      </c>
      <c r="E19" s="118">
        <f t="shared" si="1"/>
        <v>302.26</v>
      </c>
      <c r="L19">
        <v>0</v>
      </c>
    </row>
    <row r="20" spans="1:12">
      <c r="A20" s="22">
        <v>45927</v>
      </c>
      <c r="B20" s="23" t="s">
        <v>223</v>
      </c>
      <c r="C20" s="23">
        <v>77.63</v>
      </c>
      <c r="D20" s="115">
        <v>5.95</v>
      </c>
      <c r="E20" s="118">
        <f t="shared" si="1"/>
        <v>461.8985</v>
      </c>
      <c r="L20">
        <v>0</v>
      </c>
    </row>
    <row r="21" spans="1:12">
      <c r="A21" s="22">
        <v>45927</v>
      </c>
      <c r="B21" s="23" t="s">
        <v>221</v>
      </c>
      <c r="C21" s="23">
        <v>44.54</v>
      </c>
      <c r="D21" s="115">
        <v>5.95</v>
      </c>
      <c r="E21" s="118">
        <f t="shared" si="1"/>
        <v>265.013</v>
      </c>
      <c r="L21">
        <v>0</v>
      </c>
    </row>
    <row r="22" spans="1:12">
      <c r="A22" s="22">
        <v>45928</v>
      </c>
      <c r="B22" s="23" t="s">
        <v>222</v>
      </c>
      <c r="C22" s="23">
        <v>91.01</v>
      </c>
      <c r="D22" s="115">
        <v>5.95</v>
      </c>
      <c r="E22" s="118">
        <f t="shared" si="1"/>
        <v>541.5095</v>
      </c>
      <c r="L22">
        <v>0</v>
      </c>
    </row>
    <row r="23" spans="1:12">
      <c r="A23" s="22">
        <v>45928</v>
      </c>
      <c r="B23" s="23" t="s">
        <v>221</v>
      </c>
      <c r="C23" s="23">
        <v>23.49</v>
      </c>
      <c r="D23" s="115">
        <v>5.95</v>
      </c>
      <c r="E23" s="118">
        <f t="shared" si="1"/>
        <v>139.7655</v>
      </c>
      <c r="L23">
        <v>0</v>
      </c>
    </row>
    <row r="24" spans="1:12">
      <c r="A24" s="22">
        <v>45929</v>
      </c>
      <c r="B24" s="23" t="s">
        <v>221</v>
      </c>
      <c r="C24" s="23">
        <v>54.06</v>
      </c>
      <c r="D24" s="115">
        <v>5.95</v>
      </c>
      <c r="E24" s="118">
        <f t="shared" ref="E24:E29" si="2">C24*D24</f>
        <v>321.657</v>
      </c>
      <c r="L24">
        <v>0</v>
      </c>
    </row>
    <row r="25" spans="1:12">
      <c r="A25" s="22">
        <v>45930</v>
      </c>
      <c r="B25" s="23" t="s">
        <v>223</v>
      </c>
      <c r="C25" s="23">
        <v>102.67</v>
      </c>
      <c r="D25" s="115">
        <v>5.95</v>
      </c>
      <c r="E25" s="118">
        <f t="shared" si="2"/>
        <v>610.8865</v>
      </c>
      <c r="L25">
        <v>0</v>
      </c>
    </row>
    <row r="26" spans="1:12">
      <c r="A26" s="22">
        <v>45930</v>
      </c>
      <c r="B26" s="23" t="s">
        <v>224</v>
      </c>
      <c r="C26" s="23">
        <v>56.29</v>
      </c>
      <c r="D26" s="115">
        <v>5.95</v>
      </c>
      <c r="E26" s="118">
        <f t="shared" si="2"/>
        <v>334.9255</v>
      </c>
      <c r="L26">
        <v>0</v>
      </c>
    </row>
    <row r="27" spans="1:12">
      <c r="A27" s="22">
        <v>45930</v>
      </c>
      <c r="B27" s="23" t="s">
        <v>221</v>
      </c>
      <c r="C27" s="23">
        <v>60.02</v>
      </c>
      <c r="D27" s="115">
        <v>5.95</v>
      </c>
      <c r="E27" s="118">
        <f t="shared" si="2"/>
        <v>357.119</v>
      </c>
      <c r="L27">
        <v>0</v>
      </c>
    </row>
    <row r="28" spans="1:12">
      <c r="A28" s="22">
        <v>45931</v>
      </c>
      <c r="B28" s="23" t="s">
        <v>222</v>
      </c>
      <c r="C28" s="23">
        <v>89.1</v>
      </c>
      <c r="D28" s="115">
        <v>5.95</v>
      </c>
      <c r="E28" s="118">
        <f t="shared" si="2"/>
        <v>530.145</v>
      </c>
      <c r="L28">
        <v>0</v>
      </c>
    </row>
    <row r="29" spans="1:12">
      <c r="A29" s="22">
        <v>45931</v>
      </c>
      <c r="B29" s="23" t="s">
        <v>225</v>
      </c>
      <c r="C29" s="23">
        <v>135.43</v>
      </c>
      <c r="D29" s="115">
        <v>5.95</v>
      </c>
      <c r="E29" s="118">
        <f t="shared" si="2"/>
        <v>805.8085</v>
      </c>
      <c r="L29">
        <v>0</v>
      </c>
    </row>
    <row r="30" spans="1:12">
      <c r="A30" s="22">
        <v>45932</v>
      </c>
      <c r="B30" s="23" t="s">
        <v>223</v>
      </c>
      <c r="C30" s="23">
        <v>83.64</v>
      </c>
      <c r="D30" s="115">
        <v>5.95</v>
      </c>
      <c r="E30" s="118">
        <f t="shared" ref="E30:E35" si="3">C30*D30</f>
        <v>497.658</v>
      </c>
      <c r="L30">
        <v>0</v>
      </c>
    </row>
    <row r="31" spans="1:12">
      <c r="A31" s="22">
        <v>45932</v>
      </c>
      <c r="B31" s="23" t="s">
        <v>226</v>
      </c>
      <c r="C31" s="23">
        <v>71.54</v>
      </c>
      <c r="D31" s="115">
        <v>5.95</v>
      </c>
      <c r="E31" s="118">
        <f t="shared" si="3"/>
        <v>425.663</v>
      </c>
      <c r="L31">
        <v>0</v>
      </c>
    </row>
    <row r="32" spans="1:12">
      <c r="A32" s="22">
        <v>45932</v>
      </c>
      <c r="B32" s="23" t="s">
        <v>221</v>
      </c>
      <c r="C32" s="23">
        <v>61.4</v>
      </c>
      <c r="D32" s="115">
        <v>5.95</v>
      </c>
      <c r="E32" s="118">
        <f t="shared" si="3"/>
        <v>365.33</v>
      </c>
      <c r="L32">
        <v>0</v>
      </c>
    </row>
    <row r="33" spans="1:12">
      <c r="A33" s="22">
        <v>45934</v>
      </c>
      <c r="B33" s="23" t="s">
        <v>223</v>
      </c>
      <c r="C33" s="23">
        <v>91.5</v>
      </c>
      <c r="D33" s="115">
        <v>5.95</v>
      </c>
      <c r="E33" s="118">
        <f t="shared" si="3"/>
        <v>544.425</v>
      </c>
      <c r="L33">
        <v>0</v>
      </c>
    </row>
    <row r="34" spans="1:12">
      <c r="A34" s="22">
        <v>45934</v>
      </c>
      <c r="B34" s="23" t="s">
        <v>226</v>
      </c>
      <c r="C34" s="23">
        <v>83.46</v>
      </c>
      <c r="D34" s="115">
        <v>5.95</v>
      </c>
      <c r="E34" s="118">
        <f t="shared" si="3"/>
        <v>496.587</v>
      </c>
      <c r="L34">
        <v>0</v>
      </c>
    </row>
    <row r="35" spans="1:12">
      <c r="A35" s="22">
        <v>45934</v>
      </c>
      <c r="B35" s="23" t="s">
        <v>221</v>
      </c>
      <c r="C35" s="23">
        <v>44.15</v>
      </c>
      <c r="D35" s="115">
        <v>5.95</v>
      </c>
      <c r="E35" s="118">
        <f t="shared" si="3"/>
        <v>262.6925</v>
      </c>
      <c r="L35">
        <v>0</v>
      </c>
    </row>
    <row r="36" spans="4:12">
      <c r="D36" s="115"/>
      <c r="E36" s="118"/>
      <c r="F36">
        <f>SUM(E30:E35)</f>
        <v>2592.3555</v>
      </c>
      <c r="L36">
        <v>0</v>
      </c>
    </row>
    <row r="37" spans="1:12">
      <c r="A37" s="22">
        <v>45935</v>
      </c>
      <c r="B37" s="23" t="s">
        <v>221</v>
      </c>
      <c r="C37" s="23">
        <v>55.49</v>
      </c>
      <c r="D37" s="115">
        <v>5.95</v>
      </c>
      <c r="E37" s="118">
        <f t="shared" ref="E36:E45" si="4">C37*D37</f>
        <v>330.1655</v>
      </c>
      <c r="L37">
        <v>0</v>
      </c>
    </row>
    <row r="38" spans="1:12">
      <c r="A38" s="22">
        <v>45938</v>
      </c>
      <c r="B38" s="23" t="s">
        <v>223</v>
      </c>
      <c r="C38" s="23">
        <v>83.58</v>
      </c>
      <c r="D38" s="115">
        <v>5.95</v>
      </c>
      <c r="E38" s="118">
        <f t="shared" si="4"/>
        <v>497.301</v>
      </c>
      <c r="L38">
        <v>0</v>
      </c>
    </row>
    <row r="39" spans="1:12">
      <c r="A39" s="22">
        <v>45938</v>
      </c>
      <c r="B39" s="23" t="s">
        <v>222</v>
      </c>
      <c r="C39" s="23">
        <v>104.07</v>
      </c>
      <c r="D39" s="115">
        <v>5.95</v>
      </c>
      <c r="E39" s="118">
        <f t="shared" si="4"/>
        <v>619.2165</v>
      </c>
      <c r="L39">
        <v>0</v>
      </c>
    </row>
    <row r="40" spans="1:12">
      <c r="A40" s="22">
        <v>45939</v>
      </c>
      <c r="B40" s="23" t="s">
        <v>224</v>
      </c>
      <c r="C40" s="23">
        <v>51.48</v>
      </c>
      <c r="D40" s="115">
        <v>5.95</v>
      </c>
      <c r="E40" s="118">
        <f t="shared" si="4"/>
        <v>306.306</v>
      </c>
      <c r="L40">
        <v>0</v>
      </c>
    </row>
    <row r="41" spans="1:12">
      <c r="A41" s="22">
        <v>45939</v>
      </c>
      <c r="B41" s="23" t="s">
        <v>221</v>
      </c>
      <c r="C41" s="23">
        <v>49.36</v>
      </c>
      <c r="D41" s="115">
        <v>5.95</v>
      </c>
      <c r="E41" s="118">
        <f t="shared" si="4"/>
        <v>293.692</v>
      </c>
      <c r="L41">
        <v>0</v>
      </c>
    </row>
    <row r="42" spans="1:12">
      <c r="A42" s="22">
        <v>45940</v>
      </c>
      <c r="B42" s="23" t="s">
        <v>223</v>
      </c>
      <c r="C42" s="23">
        <v>94.1</v>
      </c>
      <c r="D42" s="115">
        <v>5.95</v>
      </c>
      <c r="E42" s="118">
        <f t="shared" si="4"/>
        <v>559.895</v>
      </c>
      <c r="L42">
        <v>0</v>
      </c>
    </row>
    <row r="43" spans="1:12">
      <c r="A43" s="22">
        <v>45940</v>
      </c>
      <c r="B43" s="23" t="s">
        <v>225</v>
      </c>
      <c r="C43" s="23">
        <v>156.5</v>
      </c>
      <c r="D43" s="115">
        <v>5.95</v>
      </c>
      <c r="E43" s="118">
        <f t="shared" si="4"/>
        <v>931.175</v>
      </c>
      <c r="L43">
        <v>0</v>
      </c>
    </row>
    <row r="44" spans="1:12">
      <c r="A44" s="22">
        <v>45940</v>
      </c>
      <c r="B44" s="23" t="s">
        <v>221</v>
      </c>
      <c r="C44" s="23">
        <v>24.28</v>
      </c>
      <c r="D44" s="115">
        <v>5.95</v>
      </c>
      <c r="E44" s="118">
        <f t="shared" si="4"/>
        <v>144.466</v>
      </c>
      <c r="L44">
        <v>0</v>
      </c>
    </row>
    <row r="45" spans="4:12">
      <c r="D45" s="115"/>
      <c r="E45" s="118">
        <f t="shared" si="4"/>
        <v>0</v>
      </c>
      <c r="F45">
        <f>SUM(E37:E44)</f>
        <v>3682.217</v>
      </c>
      <c r="L45">
        <v>0</v>
      </c>
    </row>
    <row r="46" spans="1:12">
      <c r="A46" s="22">
        <v>45941</v>
      </c>
      <c r="B46" s="23" t="s">
        <v>215</v>
      </c>
      <c r="C46" s="23">
        <v>93.62</v>
      </c>
      <c r="D46" s="115">
        <v>5.95</v>
      </c>
      <c r="E46" s="119">
        <f t="shared" ref="E46:E51" si="5">INT(C46*D46)</f>
        <v>557</v>
      </c>
      <c r="L46">
        <v>0</v>
      </c>
    </row>
    <row r="47" spans="1:12">
      <c r="A47" s="22">
        <v>45941</v>
      </c>
      <c r="B47" s="23" t="s">
        <v>217</v>
      </c>
      <c r="C47" s="23">
        <v>82.85</v>
      </c>
      <c r="D47" s="115">
        <v>5.95</v>
      </c>
      <c r="E47" s="119">
        <f t="shared" si="5"/>
        <v>492</v>
      </c>
      <c r="L47">
        <v>0</v>
      </c>
    </row>
    <row r="48" spans="1:12">
      <c r="A48" s="22">
        <v>45941</v>
      </c>
      <c r="B48" s="23" t="s">
        <v>216</v>
      </c>
      <c r="C48" s="23">
        <v>56.62</v>
      </c>
      <c r="D48" s="115">
        <v>5.95</v>
      </c>
      <c r="E48" s="119">
        <f t="shared" si="5"/>
        <v>336</v>
      </c>
      <c r="L48">
        <v>0</v>
      </c>
    </row>
    <row r="49" spans="1:12">
      <c r="A49" s="22">
        <v>45942</v>
      </c>
      <c r="B49" s="23" t="s">
        <v>216</v>
      </c>
      <c r="C49" s="23">
        <v>25.87</v>
      </c>
      <c r="D49" s="115">
        <v>5.95</v>
      </c>
      <c r="E49" s="119">
        <f t="shared" si="5"/>
        <v>153</v>
      </c>
      <c r="L49">
        <v>0</v>
      </c>
    </row>
    <row r="50" spans="1:12">
      <c r="A50" s="22">
        <v>45943</v>
      </c>
      <c r="B50" s="23" t="s">
        <v>218</v>
      </c>
      <c r="C50" s="23">
        <v>85.07</v>
      </c>
      <c r="D50" s="115">
        <v>5.95</v>
      </c>
      <c r="E50" s="119">
        <f t="shared" si="5"/>
        <v>506</v>
      </c>
      <c r="L50">
        <v>0</v>
      </c>
    </row>
    <row r="51" spans="1:12">
      <c r="A51" s="22">
        <v>45943</v>
      </c>
      <c r="B51" s="23" t="s">
        <v>216</v>
      </c>
      <c r="C51" s="23">
        <v>62.32</v>
      </c>
      <c r="D51" s="115">
        <v>5.95</v>
      </c>
      <c r="E51" s="119">
        <f t="shared" si="5"/>
        <v>370</v>
      </c>
      <c r="L51">
        <v>0</v>
      </c>
    </row>
    <row r="52" spans="5:12">
      <c r="E52">
        <f>SUM(E46:E51)</f>
        <v>2414</v>
      </c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pageMargins left="0.7" right="0.7" top="0.75" bottom="0.75" header="0.3" footer="0.3"/>
  <headerFooter/>
  <ignoredErrors>
    <ignoredError sqref="A46:D52 F46:M52 A53:M56 A1:M4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M56"/>
  <sheetViews>
    <sheetView workbookViewId="0">
      <selection activeCell="A24" sqref="A24:E28"/>
    </sheetView>
  </sheetViews>
  <sheetFormatPr defaultColWidth="9" defaultRowHeight="14.25"/>
  <cols>
    <col min="1" max="1" width="10.1333333333333" customWidth="1"/>
  </cols>
  <sheetData>
    <row r="1" ht="22.5" spans="1:13">
      <c r="A1" s="78" t="s">
        <v>0</v>
      </c>
      <c r="B1" s="39" t="s">
        <v>227</v>
      </c>
      <c r="C1" s="53"/>
      <c r="D1" s="5"/>
      <c r="E1" s="42">
        <v>5.85</v>
      </c>
      <c r="F1" s="42"/>
      <c r="G1" s="61"/>
      <c r="H1" s="44"/>
      <c r="L1" t="str" cm="1">
        <f t="array" ref="L1:L56">_xlfn.TOCOL(A2:G9)</f>
        <v>粤VV1046</v>
      </c>
      <c r="M1" t="s">
        <v>228</v>
      </c>
    </row>
    <row r="2" spans="1:13">
      <c r="A2" s="45" t="s">
        <v>228</v>
      </c>
      <c r="B2" s="56" t="s">
        <v>229</v>
      </c>
      <c r="C2" s="45" t="s">
        <v>230</v>
      </c>
      <c r="D2" s="45" t="s">
        <v>231</v>
      </c>
      <c r="E2" s="13"/>
      <c r="F2" s="13"/>
      <c r="G2" s="13"/>
      <c r="H2" s="46"/>
      <c r="L2" t="str">
        <v>粤V62075</v>
      </c>
      <c r="M2" t="s">
        <v>229</v>
      </c>
    </row>
    <row r="3" spans="1:13">
      <c r="A3" s="13"/>
      <c r="B3" s="8"/>
      <c r="C3" s="8"/>
      <c r="D3" s="8"/>
      <c r="E3" s="8"/>
      <c r="F3" s="34"/>
      <c r="G3" s="13"/>
      <c r="H3" s="46"/>
      <c r="L3" t="str">
        <v>豫LN3539</v>
      </c>
      <c r="M3" t="s">
        <v>230</v>
      </c>
    </row>
    <row r="4" spans="1:13">
      <c r="A4" s="13"/>
      <c r="B4" s="34"/>
      <c r="C4" s="75"/>
      <c r="D4" s="45"/>
      <c r="E4" s="76"/>
      <c r="F4" s="76"/>
      <c r="G4" s="13"/>
      <c r="H4" s="46"/>
      <c r="L4" t="str">
        <v>赣C3F188</v>
      </c>
      <c r="M4" s="45" t="s">
        <v>231</v>
      </c>
    </row>
    <row r="5" spans="1:12">
      <c r="A5" s="13"/>
      <c r="B5" s="45"/>
      <c r="C5" s="56"/>
      <c r="D5" s="45"/>
      <c r="E5" s="45"/>
      <c r="F5" s="45"/>
      <c r="G5" s="13"/>
      <c r="H5" s="46"/>
      <c r="L5">
        <v>0</v>
      </c>
    </row>
    <row r="6" spans="1:12">
      <c r="A6" s="13"/>
      <c r="B6" s="45"/>
      <c r="C6" s="56"/>
      <c r="D6" s="45"/>
      <c r="E6" s="45"/>
      <c r="F6" s="45"/>
      <c r="G6" s="13"/>
      <c r="H6" s="46"/>
      <c r="L6">
        <v>0</v>
      </c>
    </row>
    <row r="7" spans="1:12">
      <c r="A7" s="13"/>
      <c r="B7" s="45"/>
      <c r="C7" s="56"/>
      <c r="D7" s="34"/>
      <c r="E7" s="45"/>
      <c r="F7" s="45"/>
      <c r="G7" s="13"/>
      <c r="H7" s="46"/>
      <c r="L7">
        <v>0</v>
      </c>
    </row>
    <row r="8" spans="1:12">
      <c r="A8" s="13"/>
      <c r="B8" s="45"/>
      <c r="C8" s="56"/>
      <c r="D8" s="45"/>
      <c r="E8" s="45"/>
      <c r="F8" s="45"/>
      <c r="G8" s="13"/>
      <c r="H8" s="46"/>
      <c r="L8">
        <v>0</v>
      </c>
    </row>
    <row r="9" spans="1:12">
      <c r="A9" s="13"/>
      <c r="B9" s="45"/>
      <c r="C9" s="56"/>
      <c r="D9" s="45"/>
      <c r="E9" s="34"/>
      <c r="F9" s="34"/>
      <c r="G9" s="13"/>
      <c r="H9" s="46"/>
      <c r="L9">
        <v>0</v>
      </c>
    </row>
    <row r="10" spans="1:12">
      <c r="A10" s="8"/>
      <c r="B10" s="8"/>
      <c r="C10" s="8"/>
      <c r="D10" s="8"/>
      <c r="E10" s="8"/>
      <c r="F10" s="8"/>
      <c r="G10" s="8"/>
      <c r="L10">
        <v>0</v>
      </c>
    </row>
    <row r="11" spans="1:12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22">
        <v>45926</v>
      </c>
      <c r="B12" s="23" t="s">
        <v>232</v>
      </c>
      <c r="C12" s="23">
        <v>300</v>
      </c>
      <c r="D12" s="115">
        <v>5.75</v>
      </c>
      <c r="E12" s="8">
        <f t="shared" ref="E12:E17" si="0">INT(C12*D12)</f>
        <v>1725</v>
      </c>
      <c r="G12" s="111"/>
      <c r="L12">
        <v>0</v>
      </c>
    </row>
    <row r="13" spans="1:12">
      <c r="A13" s="22">
        <v>45928</v>
      </c>
      <c r="B13" s="23" t="s">
        <v>233</v>
      </c>
      <c r="C13" s="23">
        <v>200</v>
      </c>
      <c r="D13" s="115">
        <v>5.85</v>
      </c>
      <c r="E13" s="8">
        <f t="shared" si="0"/>
        <v>1170</v>
      </c>
      <c r="L13">
        <v>0</v>
      </c>
    </row>
    <row r="14" spans="1:12">
      <c r="A14" s="22">
        <v>45929</v>
      </c>
      <c r="B14" s="23" t="s">
        <v>232</v>
      </c>
      <c r="C14" s="23">
        <v>400</v>
      </c>
      <c r="D14" s="115">
        <v>5.85</v>
      </c>
      <c r="E14" s="8">
        <f t="shared" si="0"/>
        <v>2340</v>
      </c>
      <c r="L14">
        <v>0</v>
      </c>
    </row>
    <row r="15" spans="1:12">
      <c r="A15" s="22">
        <v>45930</v>
      </c>
      <c r="B15" s="23" t="s">
        <v>232</v>
      </c>
      <c r="C15" s="23">
        <v>686</v>
      </c>
      <c r="D15" s="115">
        <v>5.85</v>
      </c>
      <c r="E15" s="8">
        <f t="shared" si="0"/>
        <v>4013</v>
      </c>
      <c r="L15">
        <v>0</v>
      </c>
    </row>
    <row r="16" spans="1:12">
      <c r="A16" s="22">
        <v>45933</v>
      </c>
      <c r="B16" s="23" t="s">
        <v>232</v>
      </c>
      <c r="C16" s="23">
        <v>440</v>
      </c>
      <c r="D16" s="115">
        <v>5.85</v>
      </c>
      <c r="E16" s="8">
        <f t="shared" si="0"/>
        <v>2574</v>
      </c>
      <c r="L16">
        <v>0</v>
      </c>
    </row>
    <row r="17" spans="1:12">
      <c r="A17" s="22">
        <v>45934</v>
      </c>
      <c r="B17" s="23" t="s">
        <v>233</v>
      </c>
      <c r="C17" s="23">
        <v>150</v>
      </c>
      <c r="D17" s="115">
        <v>5.85</v>
      </c>
      <c r="E17" s="8">
        <f t="shared" si="0"/>
        <v>877</v>
      </c>
      <c r="L17">
        <v>0</v>
      </c>
    </row>
    <row r="18" spans="4:12">
      <c r="D18" s="115"/>
      <c r="E18" s="8"/>
      <c r="F18">
        <f>SUM(E16:E17)</f>
        <v>3451</v>
      </c>
      <c r="L18">
        <v>0</v>
      </c>
    </row>
    <row r="19" spans="1:12">
      <c r="A19" s="22">
        <v>45938</v>
      </c>
      <c r="B19" s="23" t="s">
        <v>232</v>
      </c>
      <c r="C19" s="23">
        <v>450.02</v>
      </c>
      <c r="D19" s="115">
        <v>5.85</v>
      </c>
      <c r="E19" s="8">
        <f t="shared" ref="E19:E27" si="1">INT(C19*D19)</f>
        <v>2632</v>
      </c>
      <c r="L19">
        <v>0</v>
      </c>
    </row>
    <row r="20" spans="1:12">
      <c r="A20" s="22">
        <v>45939</v>
      </c>
      <c r="B20" s="23" t="s">
        <v>232</v>
      </c>
      <c r="C20" s="23">
        <v>295.86</v>
      </c>
      <c r="D20" s="115">
        <v>5.85</v>
      </c>
      <c r="E20" s="8">
        <f t="shared" si="1"/>
        <v>1730</v>
      </c>
      <c r="L20">
        <v>0</v>
      </c>
    </row>
    <row r="21" spans="1:12">
      <c r="A21" s="22">
        <v>45939</v>
      </c>
      <c r="B21" s="23" t="s">
        <v>232</v>
      </c>
      <c r="C21" s="23">
        <v>500.01</v>
      </c>
      <c r="D21" s="115">
        <v>5.85</v>
      </c>
      <c r="E21" s="8">
        <f t="shared" si="1"/>
        <v>2925</v>
      </c>
      <c r="L21">
        <v>0</v>
      </c>
    </row>
    <row r="22" spans="1:12">
      <c r="A22" s="22">
        <v>45940</v>
      </c>
      <c r="B22" s="23" t="s">
        <v>232</v>
      </c>
      <c r="C22" s="23">
        <v>226.85</v>
      </c>
      <c r="D22" s="115">
        <v>5.85</v>
      </c>
      <c r="E22" s="8">
        <f t="shared" si="1"/>
        <v>1327</v>
      </c>
      <c r="L22">
        <v>0</v>
      </c>
    </row>
    <row r="23" spans="5:12">
      <c r="E23" s="8">
        <f t="shared" si="1"/>
        <v>0</v>
      </c>
      <c r="F23">
        <f>SUM(E19:E22)</f>
        <v>8614</v>
      </c>
      <c r="L23">
        <v>0</v>
      </c>
    </row>
    <row r="24" spans="1:12">
      <c r="A24" s="22">
        <v>45942</v>
      </c>
      <c r="B24" s="23" t="s">
        <v>231</v>
      </c>
      <c r="C24" s="23">
        <v>685.03</v>
      </c>
      <c r="D24" s="115">
        <v>5.75</v>
      </c>
      <c r="E24" s="8">
        <f t="shared" si="1"/>
        <v>3938</v>
      </c>
      <c r="L24">
        <v>0</v>
      </c>
    </row>
    <row r="25" spans="1:12">
      <c r="A25" s="22">
        <v>45942</v>
      </c>
      <c r="B25" s="23" t="s">
        <v>228</v>
      </c>
      <c r="C25" s="23">
        <v>200</v>
      </c>
      <c r="D25" s="115">
        <v>5.75</v>
      </c>
      <c r="E25" s="8">
        <f t="shared" si="1"/>
        <v>1150</v>
      </c>
      <c r="L25">
        <v>0</v>
      </c>
    </row>
    <row r="26" spans="1:12">
      <c r="A26" s="22">
        <v>45943</v>
      </c>
      <c r="B26" s="23" t="s">
        <v>231</v>
      </c>
      <c r="C26" s="23">
        <v>264.16</v>
      </c>
      <c r="D26" s="115">
        <v>5.75</v>
      </c>
      <c r="E26" s="8">
        <f t="shared" si="1"/>
        <v>1518</v>
      </c>
      <c r="L26">
        <v>0</v>
      </c>
    </row>
    <row r="27" spans="1:12">
      <c r="A27" s="22">
        <v>45943</v>
      </c>
      <c r="B27" s="23" t="s">
        <v>231</v>
      </c>
      <c r="C27" s="23">
        <v>284.49</v>
      </c>
      <c r="D27" s="115">
        <v>5.75</v>
      </c>
      <c r="E27" s="8">
        <f t="shared" si="1"/>
        <v>1635</v>
      </c>
      <c r="L27">
        <v>0</v>
      </c>
    </row>
    <row r="28" spans="5:12">
      <c r="E28">
        <f>SUM(E24:E27)</f>
        <v>8241</v>
      </c>
      <c r="L28">
        <v>0</v>
      </c>
    </row>
    <row r="29" spans="12:12">
      <c r="L29">
        <v>0</v>
      </c>
    </row>
    <row r="30" spans="12:12"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L57"/>
  <sheetViews>
    <sheetView workbookViewId="0">
      <selection activeCell="A22" sqref="A22:E24"/>
    </sheetView>
  </sheetViews>
  <sheetFormatPr defaultColWidth="9" defaultRowHeight="14.25"/>
  <cols>
    <col min="1" max="1" width="10.0666666666667" customWidth="1"/>
  </cols>
  <sheetData>
    <row r="1" ht="22.5" spans="1:6">
      <c r="A1" s="107" t="s">
        <v>0</v>
      </c>
      <c r="B1" s="71" t="s">
        <v>234</v>
      </c>
      <c r="C1" s="72"/>
      <c r="D1" s="46"/>
      <c r="E1" s="73"/>
      <c r="F1" s="74">
        <v>5.95</v>
      </c>
    </row>
    <row r="2" spans="1:12">
      <c r="A2" s="34" t="s">
        <v>235</v>
      </c>
      <c r="B2" s="112" t="s">
        <v>236</v>
      </c>
      <c r="C2" s="34" t="s">
        <v>237</v>
      </c>
      <c r="D2" s="8"/>
      <c r="E2" s="13"/>
      <c r="F2" s="13"/>
      <c r="G2" s="8"/>
      <c r="K2" t="str" cm="1">
        <f t="array" ref="K2:K57">_xlfn.TOCOL(A2:G9)</f>
        <v>粤VTY783</v>
      </c>
      <c r="L2" t="s">
        <v>235</v>
      </c>
    </row>
    <row r="3" spans="1:12">
      <c r="A3" s="76"/>
      <c r="B3" s="13"/>
      <c r="C3" s="15"/>
      <c r="D3" s="13"/>
      <c r="E3" s="13"/>
      <c r="F3" s="13"/>
      <c r="G3" s="8"/>
      <c r="K3" t="str">
        <v>粤DNP201</v>
      </c>
      <c r="L3" t="s">
        <v>236</v>
      </c>
    </row>
    <row r="4" spans="1:12">
      <c r="A4" s="76"/>
      <c r="B4" s="34"/>
      <c r="C4" s="75"/>
      <c r="D4" s="34"/>
      <c r="E4" s="13"/>
      <c r="F4" s="13"/>
      <c r="G4" s="8"/>
      <c r="K4" t="str">
        <v>粤DQV162</v>
      </c>
      <c r="L4" t="s">
        <v>237</v>
      </c>
    </row>
    <row r="5" spans="1:11">
      <c r="A5" s="76"/>
      <c r="B5" s="13"/>
      <c r="C5" s="15"/>
      <c r="D5" s="13"/>
      <c r="E5" s="34"/>
      <c r="F5" s="13"/>
      <c r="G5" s="8"/>
      <c r="K5">
        <v>0</v>
      </c>
    </row>
    <row r="6" spans="1:11">
      <c r="A6" s="76"/>
      <c r="B6" s="13"/>
      <c r="C6" s="15"/>
      <c r="D6" s="13"/>
      <c r="E6" s="13"/>
      <c r="F6" s="13"/>
      <c r="G6" s="8"/>
      <c r="K6">
        <v>0</v>
      </c>
    </row>
    <row r="7" spans="1:11">
      <c r="A7" s="8"/>
      <c r="B7" s="8"/>
      <c r="C7" s="8"/>
      <c r="D7" s="8"/>
      <c r="E7" s="8"/>
      <c r="F7" s="8"/>
      <c r="G7" s="8"/>
      <c r="K7">
        <v>0</v>
      </c>
    </row>
    <row r="8" spans="1:11">
      <c r="A8" s="17"/>
      <c r="B8" s="17"/>
      <c r="C8" s="18"/>
      <c r="D8" s="17"/>
      <c r="E8" s="17"/>
      <c r="F8" s="17"/>
      <c r="G8" s="17"/>
      <c r="H8" s="65"/>
      <c r="K8">
        <v>0</v>
      </c>
    </row>
    <row r="9" spans="1:11">
      <c r="A9" s="17"/>
      <c r="B9" s="17"/>
      <c r="C9" s="18"/>
      <c r="D9" s="17"/>
      <c r="E9" s="17"/>
      <c r="F9" s="17"/>
      <c r="G9" s="17"/>
      <c r="H9" s="65"/>
      <c r="K9">
        <v>0</v>
      </c>
    </row>
    <row r="10" spans="1:11">
      <c r="A10" s="65"/>
      <c r="B10" s="65"/>
      <c r="C10" s="114"/>
      <c r="D10" s="65"/>
      <c r="E10" s="65"/>
      <c r="F10" s="65"/>
      <c r="G10" s="65"/>
      <c r="H10" s="65"/>
      <c r="K10">
        <v>0</v>
      </c>
    </row>
    <row r="11" spans="1:11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K11">
        <v>0</v>
      </c>
    </row>
    <row r="12" spans="1:11">
      <c r="A12" s="22">
        <v>45923</v>
      </c>
      <c r="B12" s="23" t="s">
        <v>238</v>
      </c>
      <c r="C12" s="23">
        <v>75.76</v>
      </c>
      <c r="D12" s="8">
        <v>5.95</v>
      </c>
      <c r="E12" s="8">
        <f t="shared" ref="E12:E17" si="0">INT(C12*D12)</f>
        <v>450</v>
      </c>
      <c r="K12">
        <v>0</v>
      </c>
    </row>
    <row r="13" spans="1:11">
      <c r="A13" s="22">
        <v>45923</v>
      </c>
      <c r="B13" s="23" t="s">
        <v>239</v>
      </c>
      <c r="C13" s="23">
        <v>45.12</v>
      </c>
      <c r="D13" s="8">
        <v>5.95</v>
      </c>
      <c r="E13" s="8">
        <f t="shared" si="0"/>
        <v>268</v>
      </c>
      <c r="K13">
        <v>0</v>
      </c>
    </row>
    <row r="14" spans="1:11">
      <c r="A14" s="22">
        <v>45927</v>
      </c>
      <c r="B14" s="23" t="s">
        <v>239</v>
      </c>
      <c r="C14" s="23">
        <v>48.48</v>
      </c>
      <c r="D14" s="8">
        <v>5.95</v>
      </c>
      <c r="E14" s="8">
        <f t="shared" si="0"/>
        <v>288</v>
      </c>
      <c r="K14">
        <v>0</v>
      </c>
    </row>
    <row r="15" spans="1:11">
      <c r="A15" s="22">
        <v>45930</v>
      </c>
      <c r="B15" s="23" t="s">
        <v>238</v>
      </c>
      <c r="C15" s="23">
        <v>71.91</v>
      </c>
      <c r="D15" s="8">
        <v>5.95</v>
      </c>
      <c r="E15" s="8">
        <f t="shared" si="0"/>
        <v>427</v>
      </c>
      <c r="K15">
        <v>0</v>
      </c>
    </row>
    <row r="16" spans="1:11">
      <c r="A16" s="22">
        <v>45932</v>
      </c>
      <c r="B16" s="23" t="s">
        <v>239</v>
      </c>
      <c r="C16" s="23">
        <v>52.7</v>
      </c>
      <c r="D16" s="8">
        <v>5.95</v>
      </c>
      <c r="E16" s="8">
        <f t="shared" si="0"/>
        <v>313</v>
      </c>
      <c r="K16">
        <v>0</v>
      </c>
    </row>
    <row r="17" spans="1:11">
      <c r="A17" s="22">
        <v>45934</v>
      </c>
      <c r="B17" s="23" t="s">
        <v>238</v>
      </c>
      <c r="C17" s="23">
        <v>65.84</v>
      </c>
      <c r="D17" s="8">
        <v>5.95</v>
      </c>
      <c r="E17" s="8">
        <f t="shared" si="0"/>
        <v>391</v>
      </c>
      <c r="K17">
        <v>0</v>
      </c>
    </row>
    <row r="18" spans="4:11">
      <c r="D18" s="8"/>
      <c r="E18" s="8"/>
      <c r="F18">
        <f>SUM(E16:E17)</f>
        <v>704</v>
      </c>
      <c r="K18">
        <v>0</v>
      </c>
    </row>
    <row r="19" spans="1:11">
      <c r="A19" s="22">
        <v>45937</v>
      </c>
      <c r="B19" s="23" t="s">
        <v>239</v>
      </c>
      <c r="C19" s="23">
        <v>48.06</v>
      </c>
      <c r="D19" s="8">
        <v>5.95</v>
      </c>
      <c r="E19" s="8">
        <f>INT(C19*D19)</f>
        <v>285</v>
      </c>
      <c r="K19">
        <v>0</v>
      </c>
    </row>
    <row r="20" spans="1:11">
      <c r="A20" s="22">
        <v>45938</v>
      </c>
      <c r="B20" s="23" t="s">
        <v>238</v>
      </c>
      <c r="C20" s="23">
        <v>68.94</v>
      </c>
      <c r="D20" s="8">
        <v>5.95</v>
      </c>
      <c r="E20" s="8">
        <f>INT(C20*D20)</f>
        <v>410</v>
      </c>
      <c r="K20">
        <v>0</v>
      </c>
    </row>
    <row r="21" spans="5:11">
      <c r="E21" s="8">
        <f>INT(C21*D21)</f>
        <v>0</v>
      </c>
      <c r="F21">
        <f>SUM(E19:E20)</f>
        <v>695</v>
      </c>
      <c r="K21">
        <v>0</v>
      </c>
    </row>
    <row r="22" spans="1:11">
      <c r="A22" s="22">
        <v>45942</v>
      </c>
      <c r="B22" s="23" t="s">
        <v>235</v>
      </c>
      <c r="C22" s="23">
        <v>73.97</v>
      </c>
      <c r="D22" s="8">
        <v>5.95</v>
      </c>
      <c r="E22" s="8">
        <f>INT(C22*D22)</f>
        <v>440</v>
      </c>
      <c r="K22">
        <v>0</v>
      </c>
    </row>
    <row r="23" spans="1:11">
      <c r="A23" s="22">
        <v>45942</v>
      </c>
      <c r="B23" s="23" t="s">
        <v>236</v>
      </c>
      <c r="C23" s="23">
        <v>51.81</v>
      </c>
      <c r="D23" s="8">
        <v>5.95</v>
      </c>
      <c r="E23" s="8">
        <f>INT(C23*D23)</f>
        <v>308</v>
      </c>
      <c r="K23">
        <v>0</v>
      </c>
    </row>
    <row r="24" spans="5:11">
      <c r="E24">
        <f>SUM(E22:E23)</f>
        <v>748</v>
      </c>
      <c r="K24">
        <v>0</v>
      </c>
    </row>
    <row r="25" spans="11:11">
      <c r="K25">
        <v>0</v>
      </c>
    </row>
    <row r="26" spans="11:11">
      <c r="K26">
        <v>0</v>
      </c>
    </row>
    <row r="27" spans="11:11">
      <c r="K27">
        <v>0</v>
      </c>
    </row>
    <row r="28" spans="11:11">
      <c r="K28">
        <v>0</v>
      </c>
    </row>
    <row r="29" spans="11:11">
      <c r="K29">
        <v>0</v>
      </c>
    </row>
    <row r="30" spans="11:11">
      <c r="K30">
        <v>0</v>
      </c>
    </row>
    <row r="31" spans="11:11">
      <c r="K31">
        <v>0</v>
      </c>
    </row>
    <row r="32" spans="11:11">
      <c r="K32">
        <v>0</v>
      </c>
    </row>
    <row r="33" spans="11:11">
      <c r="K33">
        <v>0</v>
      </c>
    </row>
    <row r="34" spans="11:11">
      <c r="K34">
        <v>0</v>
      </c>
    </row>
    <row r="35" spans="11:11">
      <c r="K35">
        <v>0</v>
      </c>
    </row>
    <row r="36" spans="11:11">
      <c r="K36">
        <v>0</v>
      </c>
    </row>
    <row r="37" spans="11:11">
      <c r="K37">
        <v>0</v>
      </c>
    </row>
    <row r="38" spans="11:11">
      <c r="K38">
        <v>0</v>
      </c>
    </row>
    <row r="39" spans="11:11">
      <c r="K39">
        <v>0</v>
      </c>
    </row>
    <row r="40" spans="11:11">
      <c r="K40">
        <v>0</v>
      </c>
    </row>
    <row r="41" spans="11:11">
      <c r="K41">
        <v>0</v>
      </c>
    </row>
    <row r="42" spans="11:11">
      <c r="K42">
        <v>0</v>
      </c>
    </row>
    <row r="43" spans="11:11">
      <c r="K43">
        <v>0</v>
      </c>
    </row>
    <row r="44" spans="11:11">
      <c r="K44">
        <v>0</v>
      </c>
    </row>
    <row r="45" spans="11:11">
      <c r="K45">
        <v>0</v>
      </c>
    </row>
    <row r="46" spans="11:11">
      <c r="K46">
        <v>0</v>
      </c>
    </row>
    <row r="47" spans="11:11">
      <c r="K47">
        <v>0</v>
      </c>
    </row>
    <row r="48" spans="11:11">
      <c r="K48">
        <v>0</v>
      </c>
    </row>
    <row r="49" spans="11:11">
      <c r="K49">
        <v>0</v>
      </c>
    </row>
    <row r="50" spans="11:11">
      <c r="K50">
        <v>0</v>
      </c>
    </row>
    <row r="51" spans="11:11">
      <c r="K51">
        <v>0</v>
      </c>
    </row>
    <row r="52" spans="11:11">
      <c r="K52">
        <v>0</v>
      </c>
    </row>
    <row r="53" spans="11:11">
      <c r="K53">
        <v>0</v>
      </c>
    </row>
    <row r="54" spans="11:11">
      <c r="K54">
        <v>0</v>
      </c>
    </row>
    <row r="55" spans="11:11">
      <c r="K55">
        <v>0</v>
      </c>
    </row>
    <row r="56" spans="11:11">
      <c r="K56">
        <v>0</v>
      </c>
    </row>
    <row r="57" spans="11:11">
      <c r="K57">
        <v>0</v>
      </c>
    </row>
  </sheetData>
  <conditionalFormatting sqref="F1">
    <cfRule type="duplicateValues" dxfId="2" priority="1" stopIfTrue="1"/>
  </conditionalFormatting>
  <conditionalFormatting sqref="A2:C2">
    <cfRule type="duplicateValues" dxfId="2" priority="5" stopIfTrue="1"/>
  </conditionalFormatting>
  <conditionalFormatting sqref="B4:E4 E5 A2:C2">
    <cfRule type="duplicateValues" dxfId="2" priority="4" stopIfTrue="1"/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L56"/>
  <sheetViews>
    <sheetView workbookViewId="0">
      <selection activeCell="A17" sqref="A17:E22"/>
    </sheetView>
  </sheetViews>
  <sheetFormatPr defaultColWidth="9" defaultRowHeight="14.25"/>
  <cols>
    <col min="1" max="1" width="10" customWidth="1"/>
  </cols>
  <sheetData>
    <row r="1" ht="22.5" spans="1:12">
      <c r="A1" s="107" t="s">
        <v>0</v>
      </c>
      <c r="B1" s="71" t="s">
        <v>240</v>
      </c>
      <c r="C1" s="72"/>
      <c r="D1" s="73"/>
      <c r="E1" s="74">
        <v>5.85</v>
      </c>
      <c r="F1" s="74"/>
      <c r="K1" t="str" cm="1">
        <f t="array" ref="K1:K56">_xlfn.TOCOL(A2:G9)</f>
        <v>粤V64282</v>
      </c>
      <c r="L1" t="s">
        <v>241</v>
      </c>
    </row>
    <row r="2" spans="1:12">
      <c r="A2" s="13" t="s">
        <v>241</v>
      </c>
      <c r="B2" s="45" t="s">
        <v>242</v>
      </c>
      <c r="C2" s="112" t="s">
        <v>243</v>
      </c>
      <c r="D2" s="45" t="s">
        <v>244</v>
      </c>
      <c r="E2" s="76" t="s">
        <v>245</v>
      </c>
      <c r="F2" s="56" t="s">
        <v>246</v>
      </c>
      <c r="G2" s="45" t="s">
        <v>247</v>
      </c>
      <c r="K2" t="str">
        <v>粤V05706</v>
      </c>
      <c r="L2" t="s">
        <v>242</v>
      </c>
    </row>
    <row r="3" spans="1:12">
      <c r="A3" s="76" t="s">
        <v>248</v>
      </c>
      <c r="B3" s="45" t="s">
        <v>249</v>
      </c>
      <c r="C3" s="113" t="s">
        <v>250</v>
      </c>
      <c r="D3" s="76" t="s">
        <v>251</v>
      </c>
      <c r="E3" s="76" t="s">
        <v>252</v>
      </c>
      <c r="F3" s="13" t="s">
        <v>253</v>
      </c>
      <c r="G3" s="8"/>
      <c r="K3" t="str">
        <v>赣C8M199</v>
      </c>
      <c r="L3" t="s">
        <v>243</v>
      </c>
    </row>
    <row r="4" spans="1:12">
      <c r="A4" s="8"/>
      <c r="B4" s="8"/>
      <c r="C4" s="8"/>
      <c r="D4" s="8"/>
      <c r="E4" s="8"/>
      <c r="F4" s="13"/>
      <c r="G4" s="8"/>
      <c r="K4" t="str">
        <v>赣FD3778</v>
      </c>
      <c r="L4" t="s">
        <v>244</v>
      </c>
    </row>
    <row r="5" spans="1:12">
      <c r="A5" s="76"/>
      <c r="B5" s="8"/>
      <c r="C5" s="15"/>
      <c r="D5" s="13"/>
      <c r="E5" s="34"/>
      <c r="F5" s="13"/>
      <c r="G5" s="8"/>
      <c r="K5" t="str">
        <v>赣C6M785</v>
      </c>
      <c r="L5" t="s">
        <v>245</v>
      </c>
    </row>
    <row r="6" spans="1:12">
      <c r="A6" s="76"/>
      <c r="B6" s="13"/>
      <c r="C6" s="15"/>
      <c r="D6" s="13"/>
      <c r="E6" s="13"/>
      <c r="F6" s="13"/>
      <c r="G6" s="8"/>
      <c r="K6" t="str">
        <v>赣C2P305</v>
      </c>
      <c r="L6" t="s">
        <v>246</v>
      </c>
    </row>
    <row r="7" spans="1:12">
      <c r="A7" s="8"/>
      <c r="B7" s="8"/>
      <c r="C7" s="8"/>
      <c r="D7" s="8"/>
      <c r="E7" s="8"/>
      <c r="F7" s="8"/>
      <c r="G7" s="8"/>
      <c r="K7" t="str">
        <v>赣C33883</v>
      </c>
      <c r="L7" t="s">
        <v>247</v>
      </c>
    </row>
    <row r="8" spans="1:12">
      <c r="A8" s="8"/>
      <c r="B8" s="8"/>
      <c r="C8" s="8"/>
      <c r="D8" s="8"/>
      <c r="E8" s="8"/>
      <c r="F8" s="8"/>
      <c r="G8" s="8"/>
      <c r="K8" t="str">
        <v>粤V38898</v>
      </c>
      <c r="L8" t="s">
        <v>248</v>
      </c>
    </row>
    <row r="9" spans="1:12">
      <c r="A9" s="8"/>
      <c r="B9" s="8"/>
      <c r="C9" s="8"/>
      <c r="D9" s="8"/>
      <c r="E9" s="8"/>
      <c r="F9" s="8"/>
      <c r="G9" s="8"/>
      <c r="K9" t="str">
        <v>赣CQ5137</v>
      </c>
      <c r="L9" t="s">
        <v>249</v>
      </c>
    </row>
    <row r="10" spans="11:12">
      <c r="K10" t="str">
        <v>粤VN2612</v>
      </c>
      <c r="L10" t="s">
        <v>250</v>
      </c>
    </row>
    <row r="11" spans="1:12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K11" t="str">
        <v>粤VU6120</v>
      </c>
      <c r="L11" t="s">
        <v>251</v>
      </c>
    </row>
    <row r="12" spans="1:12">
      <c r="A12" s="22">
        <v>45927</v>
      </c>
      <c r="B12" s="23" t="s">
        <v>254</v>
      </c>
      <c r="C12" s="23">
        <v>304.17</v>
      </c>
      <c r="D12" s="19">
        <v>5.75</v>
      </c>
      <c r="E12" s="8">
        <f t="shared" ref="E12:E15" si="0">INT(C12*D12)</f>
        <v>1748</v>
      </c>
      <c r="G12" s="111"/>
      <c r="K12" t="str">
        <v>赣CT4166</v>
      </c>
      <c r="L12" t="s">
        <v>252</v>
      </c>
    </row>
    <row r="13" spans="1:12">
      <c r="A13" s="22">
        <v>45929</v>
      </c>
      <c r="B13" s="23" t="s">
        <v>255</v>
      </c>
      <c r="C13" s="23">
        <v>361.52</v>
      </c>
      <c r="D13" s="8">
        <v>5.85</v>
      </c>
      <c r="E13" s="8">
        <f t="shared" si="0"/>
        <v>2114</v>
      </c>
      <c r="K13" t="str">
        <v>粤VV9213</v>
      </c>
      <c r="L13" t="s">
        <v>253</v>
      </c>
    </row>
    <row r="14" spans="1:11">
      <c r="A14" s="22">
        <v>45933</v>
      </c>
      <c r="B14" s="23" t="s">
        <v>256</v>
      </c>
      <c r="C14" s="23">
        <v>470</v>
      </c>
      <c r="D14" s="8">
        <v>5.85</v>
      </c>
      <c r="E14" s="8">
        <f t="shared" si="0"/>
        <v>2749</v>
      </c>
      <c r="K14">
        <v>0</v>
      </c>
    </row>
    <row r="15" spans="1:11">
      <c r="A15" s="22">
        <v>45934</v>
      </c>
      <c r="B15" s="23" t="s">
        <v>257</v>
      </c>
      <c r="C15" s="23">
        <v>171.31</v>
      </c>
      <c r="D15" s="8">
        <v>5.85</v>
      </c>
      <c r="E15" s="8">
        <f t="shared" si="0"/>
        <v>1002</v>
      </c>
      <c r="K15">
        <v>0</v>
      </c>
    </row>
    <row r="16" spans="5:11">
      <c r="E16" s="8">
        <f t="shared" ref="E16:E21" si="1">INT(C16*D16)</f>
        <v>0</v>
      </c>
      <c r="F16">
        <f>SUM(E14:E15)</f>
        <v>3751</v>
      </c>
      <c r="K16">
        <v>0</v>
      </c>
    </row>
    <row r="17" spans="1:11">
      <c r="A17" s="22">
        <v>45941</v>
      </c>
      <c r="B17" s="23" t="s">
        <v>246</v>
      </c>
      <c r="C17" s="23">
        <v>405.13</v>
      </c>
      <c r="D17" s="19">
        <v>5.75</v>
      </c>
      <c r="E17" s="8">
        <f t="shared" si="1"/>
        <v>2329</v>
      </c>
      <c r="K17">
        <v>0</v>
      </c>
    </row>
    <row r="18" spans="1:11">
      <c r="A18" s="22">
        <v>45941</v>
      </c>
      <c r="B18" s="23" t="s">
        <v>243</v>
      </c>
      <c r="C18" s="23">
        <v>650.26</v>
      </c>
      <c r="D18" s="19">
        <v>5.75</v>
      </c>
      <c r="E18" s="8">
        <f t="shared" si="1"/>
        <v>3738</v>
      </c>
      <c r="K18">
        <v>0</v>
      </c>
    </row>
    <row r="19" spans="1:11">
      <c r="A19" s="22">
        <v>45942</v>
      </c>
      <c r="B19" s="23" t="s">
        <v>242</v>
      </c>
      <c r="C19" s="23">
        <v>720</v>
      </c>
      <c r="D19" s="19">
        <v>5.75</v>
      </c>
      <c r="E19" s="8">
        <f t="shared" si="1"/>
        <v>4140</v>
      </c>
      <c r="K19">
        <v>0</v>
      </c>
    </row>
    <row r="20" spans="1:11">
      <c r="A20" s="22">
        <v>45943</v>
      </c>
      <c r="B20" s="23" t="s">
        <v>249</v>
      </c>
      <c r="C20" s="23">
        <v>280</v>
      </c>
      <c r="D20" s="19">
        <v>5.75</v>
      </c>
      <c r="E20" s="8">
        <f t="shared" si="1"/>
        <v>1610</v>
      </c>
      <c r="K20">
        <v>0</v>
      </c>
    </row>
    <row r="21" spans="1:11">
      <c r="A21" s="22">
        <v>45943</v>
      </c>
      <c r="B21" s="23" t="s">
        <v>252</v>
      </c>
      <c r="C21" s="23">
        <v>301.35</v>
      </c>
      <c r="D21" s="19">
        <v>5.75</v>
      </c>
      <c r="E21" s="8">
        <f t="shared" si="1"/>
        <v>1732</v>
      </c>
      <c r="K21">
        <v>0</v>
      </c>
    </row>
    <row r="22" spans="5:11">
      <c r="E22">
        <f>SUM(E17:E21)</f>
        <v>13549</v>
      </c>
      <c r="K22">
        <v>0</v>
      </c>
    </row>
    <row r="23" spans="11:11">
      <c r="K23">
        <v>0</v>
      </c>
    </row>
    <row r="24" spans="11:11">
      <c r="K24">
        <v>0</v>
      </c>
    </row>
    <row r="25" spans="11:11">
      <c r="K25">
        <v>0</v>
      </c>
    </row>
    <row r="26" spans="11:11">
      <c r="K26">
        <v>0</v>
      </c>
    </row>
    <row r="27" spans="11:11">
      <c r="K27">
        <v>0</v>
      </c>
    </row>
    <row r="28" spans="11:11">
      <c r="K28">
        <v>0</v>
      </c>
    </row>
    <row r="29" spans="11:11">
      <c r="K29">
        <v>0</v>
      </c>
    </row>
    <row r="30" spans="11:11">
      <c r="K30">
        <v>0</v>
      </c>
    </row>
    <row r="31" spans="11:11">
      <c r="K31">
        <v>0</v>
      </c>
    </row>
    <row r="32" spans="11:11">
      <c r="K32">
        <v>0</v>
      </c>
    </row>
    <row r="33" spans="11:11">
      <c r="K33">
        <v>0</v>
      </c>
    </row>
    <row r="34" spans="11:11">
      <c r="K34">
        <v>0</v>
      </c>
    </row>
    <row r="35" spans="11:11">
      <c r="K35">
        <v>0</v>
      </c>
    </row>
    <row r="36" spans="11:11">
      <c r="K36">
        <v>0</v>
      </c>
    </row>
    <row r="37" spans="11:11">
      <c r="K37">
        <v>0</v>
      </c>
    </row>
    <row r="38" spans="11:11">
      <c r="K38">
        <v>0</v>
      </c>
    </row>
    <row r="39" spans="11:11">
      <c r="K39">
        <v>0</v>
      </c>
    </row>
    <row r="40" spans="11:11">
      <c r="K40">
        <v>0</v>
      </c>
    </row>
    <row r="41" spans="11:11">
      <c r="K41">
        <v>0</v>
      </c>
    </row>
    <row r="42" spans="11:11">
      <c r="K42">
        <v>0</v>
      </c>
    </row>
    <row r="43" spans="11:11">
      <c r="K43">
        <v>0</v>
      </c>
    </row>
    <row r="44" spans="11:11">
      <c r="K44">
        <v>0</v>
      </c>
    </row>
    <row r="45" spans="11:11">
      <c r="K45">
        <v>0</v>
      </c>
    </row>
    <row r="46" spans="11:11">
      <c r="K46">
        <v>0</v>
      </c>
    </row>
    <row r="47" spans="11:11">
      <c r="K47">
        <v>0</v>
      </c>
    </row>
    <row r="48" spans="11:11">
      <c r="K48">
        <v>0</v>
      </c>
    </row>
    <row r="49" spans="11:11">
      <c r="K49">
        <v>0</v>
      </c>
    </row>
    <row r="50" spans="11:11">
      <c r="K50">
        <v>0</v>
      </c>
    </row>
    <row r="51" spans="11:11">
      <c r="K51">
        <v>0</v>
      </c>
    </row>
    <row r="52" spans="11:11">
      <c r="K52">
        <v>0</v>
      </c>
    </row>
    <row r="53" spans="11:11">
      <c r="K53">
        <v>0</v>
      </c>
    </row>
    <row r="54" spans="11:11">
      <c r="K54">
        <v>0</v>
      </c>
    </row>
    <row r="55" spans="11:11">
      <c r="K55">
        <v>0</v>
      </c>
    </row>
    <row r="56" spans="11:11">
      <c r="K56">
        <v>0</v>
      </c>
    </row>
  </sheetData>
  <conditionalFormatting sqref="E1">
    <cfRule type="duplicateValues" dxfId="2" priority="1" stopIfTrue="1"/>
  </conditionalFormatting>
  <conditionalFormatting sqref="F1">
    <cfRule type="duplicateValues" dxfId="2" priority="2" stopIfTrue="1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M57"/>
  <sheetViews>
    <sheetView workbookViewId="0">
      <selection activeCell="M2" sqref="M2:M12"/>
    </sheetView>
  </sheetViews>
  <sheetFormatPr defaultColWidth="9" defaultRowHeight="14.25"/>
  <cols>
    <col min="1" max="1" width="10.7333333333333" customWidth="1"/>
  </cols>
  <sheetData>
    <row r="1" ht="22.5" spans="1:6">
      <c r="A1" s="107" t="s">
        <v>0</v>
      </c>
      <c r="B1" s="71" t="s">
        <v>258</v>
      </c>
      <c r="C1" s="72"/>
      <c r="D1" s="73"/>
      <c r="E1" s="74">
        <v>5.85</v>
      </c>
      <c r="F1" s="74"/>
    </row>
    <row r="2" spans="1:13">
      <c r="A2" s="108" t="s">
        <v>259</v>
      </c>
      <c r="B2" s="108" t="s">
        <v>260</v>
      </c>
      <c r="C2" s="109" t="s">
        <v>261</v>
      </c>
      <c r="D2" s="108" t="s">
        <v>262</v>
      </c>
      <c r="E2" s="5" t="s">
        <v>263</v>
      </c>
      <c r="F2" s="108" t="s">
        <v>264</v>
      </c>
      <c r="G2" s="110" t="s">
        <v>265</v>
      </c>
      <c r="L2" t="str" cm="1">
        <f t="array" ref="L2:L57">_xlfn.TOCOL(A2:G9)</f>
        <v>粤DR0325</v>
      </c>
      <c r="M2" t="s">
        <v>259</v>
      </c>
    </row>
    <row r="3" spans="1:13">
      <c r="A3" s="5" t="s">
        <v>266</v>
      </c>
      <c r="B3" s="5" t="s">
        <v>267</v>
      </c>
      <c r="C3" s="51" t="s">
        <v>268</v>
      </c>
      <c r="D3" s="5" t="s">
        <v>269</v>
      </c>
      <c r="F3" s="13"/>
      <c r="G3" s="8"/>
      <c r="L3" t="str">
        <v>豫PJ7893</v>
      </c>
      <c r="M3" t="s">
        <v>260</v>
      </c>
    </row>
    <row r="4" spans="1:13">
      <c r="A4" s="76"/>
      <c r="B4" s="8"/>
      <c r="C4" s="8"/>
      <c r="D4" s="8"/>
      <c r="E4" s="13"/>
      <c r="F4" s="13"/>
      <c r="G4" s="8"/>
      <c r="L4" t="str">
        <v>豫PR0319</v>
      </c>
      <c r="M4" t="s">
        <v>261</v>
      </c>
    </row>
    <row r="5" spans="1:13">
      <c r="A5" s="76"/>
      <c r="B5" s="13"/>
      <c r="C5" s="15"/>
      <c r="D5" s="13"/>
      <c r="E5" s="34"/>
      <c r="F5" s="13"/>
      <c r="G5" s="8"/>
      <c r="L5" t="str">
        <v>豫PM5385</v>
      </c>
      <c r="M5" t="s">
        <v>262</v>
      </c>
    </row>
    <row r="6" spans="1:13">
      <c r="A6" s="76"/>
      <c r="B6" s="13"/>
      <c r="C6" s="15"/>
      <c r="D6" s="13"/>
      <c r="E6" s="13"/>
      <c r="F6" s="13"/>
      <c r="G6" s="8"/>
      <c r="L6" t="str">
        <v>豫NE0896</v>
      </c>
      <c r="M6" t="s">
        <v>263</v>
      </c>
    </row>
    <row r="7" spans="1:13">
      <c r="A7" s="8"/>
      <c r="B7" s="8"/>
      <c r="C7" s="8"/>
      <c r="D7" s="8"/>
      <c r="E7" s="8"/>
      <c r="F7" s="8"/>
      <c r="G7" s="8"/>
      <c r="L7" t="str">
        <v>豫D3E82挂</v>
      </c>
      <c r="M7" t="s">
        <v>264</v>
      </c>
    </row>
    <row r="8" spans="1:13">
      <c r="A8" s="8"/>
      <c r="B8" s="8"/>
      <c r="C8" s="8"/>
      <c r="D8" s="8"/>
      <c r="E8" s="8"/>
      <c r="F8" s="8"/>
      <c r="G8" s="8"/>
      <c r="L8" t="str">
        <v>豫PR5898</v>
      </c>
      <c r="M8" t="s">
        <v>265</v>
      </c>
    </row>
    <row r="9" spans="1:13">
      <c r="A9" s="8"/>
      <c r="B9" s="8"/>
      <c r="C9" s="8"/>
      <c r="D9" s="8"/>
      <c r="E9" s="8"/>
      <c r="F9" s="8"/>
      <c r="G9" s="8"/>
      <c r="L9" t="str">
        <v>豫PY7588</v>
      </c>
      <c r="M9" t="s">
        <v>266</v>
      </c>
    </row>
    <row r="10" spans="12:13">
      <c r="L10" t="str">
        <v>豫PV7029</v>
      </c>
      <c r="M10" t="s">
        <v>267</v>
      </c>
    </row>
    <row r="11" spans="1:13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 t="str">
        <v>豫PK1230</v>
      </c>
      <c r="M11" t="s">
        <v>268</v>
      </c>
    </row>
    <row r="12" spans="1:13">
      <c r="A12" s="22">
        <v>45927</v>
      </c>
      <c r="B12" s="23" t="s">
        <v>270</v>
      </c>
      <c r="C12" s="23">
        <v>484.02</v>
      </c>
      <c r="D12" s="19">
        <v>5.75</v>
      </c>
      <c r="E12" s="8">
        <f t="shared" ref="E12:E15" si="0">INT(C12*D12)</f>
        <v>2783</v>
      </c>
      <c r="G12" s="111"/>
      <c r="L12" t="str">
        <v>豫LL9613</v>
      </c>
      <c r="M12" t="s">
        <v>269</v>
      </c>
    </row>
    <row r="13" spans="1:12">
      <c r="A13" s="22">
        <v>45927</v>
      </c>
      <c r="B13" s="23" t="s">
        <v>271</v>
      </c>
      <c r="C13" s="23">
        <v>471</v>
      </c>
      <c r="D13" s="19">
        <v>5.75</v>
      </c>
      <c r="E13" s="8">
        <f t="shared" si="0"/>
        <v>2708</v>
      </c>
      <c r="L13">
        <v>0</v>
      </c>
    </row>
    <row r="14" spans="1:12">
      <c r="A14" s="22">
        <v>45929</v>
      </c>
      <c r="B14" s="23" t="s">
        <v>270</v>
      </c>
      <c r="C14" s="23">
        <v>510</v>
      </c>
      <c r="D14" s="8">
        <v>5.85</v>
      </c>
      <c r="E14" s="8">
        <f t="shared" si="0"/>
        <v>2983</v>
      </c>
      <c r="L14">
        <v>0</v>
      </c>
    </row>
    <row r="15" spans="1:12">
      <c r="A15" s="22">
        <v>45933</v>
      </c>
      <c r="B15" s="23" t="s">
        <v>270</v>
      </c>
      <c r="C15" s="23">
        <v>535</v>
      </c>
      <c r="D15" s="8">
        <v>5.85</v>
      </c>
      <c r="E15" s="8">
        <f t="shared" si="0"/>
        <v>3129</v>
      </c>
      <c r="L15">
        <v>0</v>
      </c>
    </row>
    <row r="16" spans="5:12">
      <c r="E16" s="8"/>
      <c r="L16">
        <v>0</v>
      </c>
    </row>
    <row r="17" spans="1:12">
      <c r="A17" s="22">
        <v>45935</v>
      </c>
      <c r="B17" s="23" t="s">
        <v>271</v>
      </c>
      <c r="C17" s="23">
        <v>505.01</v>
      </c>
      <c r="D17" s="8">
        <v>5.85</v>
      </c>
      <c r="E17" s="8">
        <f>INT(C17*D17)</f>
        <v>2954</v>
      </c>
      <c r="L17">
        <v>0</v>
      </c>
    </row>
    <row r="18" spans="12:12">
      <c r="L18">
        <v>0</v>
      </c>
    </row>
    <row r="19" spans="12:12">
      <c r="L19">
        <v>0</v>
      </c>
    </row>
    <row r="20" spans="12:12">
      <c r="L20">
        <v>0</v>
      </c>
    </row>
    <row r="21" spans="12:12">
      <c r="L21">
        <v>0</v>
      </c>
    </row>
    <row r="22" spans="12:12">
      <c r="L22">
        <v>0</v>
      </c>
    </row>
    <row r="23" spans="12:12">
      <c r="L23">
        <v>0</v>
      </c>
    </row>
    <row r="24" spans="12:12">
      <c r="L24">
        <v>0</v>
      </c>
    </row>
    <row r="25" spans="12:12">
      <c r="L25">
        <v>0</v>
      </c>
    </row>
    <row r="26" spans="12:12">
      <c r="L26">
        <v>0</v>
      </c>
    </row>
    <row r="27" spans="12:12">
      <c r="L27">
        <v>0</v>
      </c>
    </row>
    <row r="28" spans="12:12">
      <c r="L28">
        <v>0</v>
      </c>
    </row>
    <row r="29" spans="12:12">
      <c r="L29">
        <v>0</v>
      </c>
    </row>
    <row r="30" spans="12:12"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  <row r="57" spans="12:12">
      <c r="L57">
        <v>0</v>
      </c>
    </row>
  </sheetData>
  <conditionalFormatting sqref="E1">
    <cfRule type="duplicateValues" dxfId="2" priority="1" stopIfTrue="1"/>
  </conditionalFormatting>
  <conditionalFormatting sqref="F1">
    <cfRule type="duplicateValues" dxfId="2" priority="2" stopIfTrue="1"/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M57"/>
  <sheetViews>
    <sheetView workbookViewId="0">
      <selection activeCell="M2" sqref="M2:M7"/>
    </sheetView>
  </sheetViews>
  <sheetFormatPr defaultColWidth="9" defaultRowHeight="14.25"/>
  <sheetData>
    <row r="1" ht="20.25" spans="1:7">
      <c r="A1" s="1" t="s">
        <v>0</v>
      </c>
      <c r="B1" s="2" t="s">
        <v>272</v>
      </c>
      <c r="C1" s="3"/>
      <c r="D1" s="4"/>
      <c r="E1" s="5"/>
      <c r="F1" s="6">
        <v>5.85</v>
      </c>
      <c r="G1" s="7"/>
    </row>
    <row r="2" spans="1:13">
      <c r="A2" s="20" t="s">
        <v>273</v>
      </c>
      <c r="B2" s="10" t="s">
        <v>274</v>
      </c>
      <c r="C2" s="21" t="s">
        <v>275</v>
      </c>
      <c r="D2" s="10" t="s">
        <v>276</v>
      </c>
      <c r="E2" s="10" t="s">
        <v>277</v>
      </c>
      <c r="F2" s="8" t="s">
        <v>278</v>
      </c>
      <c r="G2" s="8"/>
      <c r="L2" t="str" cm="1">
        <f t="array" ref="L2:L57">_xlfn.TOCOL(A2:G9)</f>
        <v>粤D78823</v>
      </c>
      <c r="M2" t="s">
        <v>273</v>
      </c>
    </row>
    <row r="3" spans="1:13">
      <c r="A3" s="12"/>
      <c r="B3" s="8"/>
      <c r="C3" s="8"/>
      <c r="D3" s="13"/>
      <c r="E3" s="13"/>
      <c r="F3" s="13"/>
      <c r="G3" s="13"/>
      <c r="L3" t="str">
        <v>粤D15896</v>
      </c>
      <c r="M3" t="s">
        <v>274</v>
      </c>
    </row>
    <row r="4" spans="1:13">
      <c r="A4" s="14"/>
      <c r="B4" s="13"/>
      <c r="C4" s="15"/>
      <c r="D4" s="13"/>
      <c r="E4" s="13"/>
      <c r="F4" s="13"/>
      <c r="G4" s="13"/>
      <c r="L4" t="str">
        <v>粤D18025</v>
      </c>
      <c r="M4" t="s">
        <v>275</v>
      </c>
    </row>
    <row r="5" spans="1:13">
      <c r="A5" s="14"/>
      <c r="B5" s="13"/>
      <c r="C5" s="15"/>
      <c r="D5" s="13"/>
      <c r="E5" s="13"/>
      <c r="F5" s="13"/>
      <c r="G5" s="13"/>
      <c r="L5" t="str">
        <v>粤D20700</v>
      </c>
      <c r="M5" t="s">
        <v>276</v>
      </c>
    </row>
    <row r="6" spans="1:13">
      <c r="A6" s="14"/>
      <c r="B6" s="13"/>
      <c r="C6" s="15"/>
      <c r="D6" s="13"/>
      <c r="E6" s="13"/>
      <c r="F6" s="13"/>
      <c r="G6" s="13"/>
      <c r="L6" t="str">
        <v>粤D68607</v>
      </c>
      <c r="M6" t="s">
        <v>277</v>
      </c>
    </row>
    <row r="7" spans="1:13">
      <c r="A7" s="14"/>
      <c r="B7" s="13"/>
      <c r="C7" s="15"/>
      <c r="D7" s="13"/>
      <c r="E7" s="13"/>
      <c r="F7" s="13"/>
      <c r="G7" s="13"/>
      <c r="L7" t="str">
        <v>粤D24532</v>
      </c>
      <c r="M7" t="s">
        <v>278</v>
      </c>
    </row>
    <row r="8" spans="1:12">
      <c r="A8" s="14"/>
      <c r="B8" s="13"/>
      <c r="C8" s="15"/>
      <c r="D8" s="13"/>
      <c r="E8" s="13"/>
      <c r="F8" s="13"/>
      <c r="G8" s="13"/>
      <c r="L8">
        <v>0</v>
      </c>
    </row>
    <row r="9" spans="1:12">
      <c r="A9" s="14"/>
      <c r="B9" s="13"/>
      <c r="C9" s="15"/>
      <c r="D9" s="13"/>
      <c r="E9" s="13"/>
      <c r="F9" s="13"/>
      <c r="G9" s="13"/>
      <c r="L9">
        <v>0</v>
      </c>
    </row>
    <row r="10" spans="1:12">
      <c r="A10" s="30"/>
      <c r="L10">
        <v>0</v>
      </c>
    </row>
    <row r="11" spans="1:12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4:12">
      <c r="D12" s="8"/>
      <c r="E12" s="8">
        <f t="shared" ref="E12" si="0">INT(C12*D12)</f>
        <v>0</v>
      </c>
      <c r="L12">
        <v>0</v>
      </c>
    </row>
    <row r="13" spans="12:12">
      <c r="L13">
        <v>0</v>
      </c>
    </row>
    <row r="14" spans="12:12">
      <c r="L14">
        <v>0</v>
      </c>
    </row>
    <row r="15" spans="12:12">
      <c r="L15">
        <v>0</v>
      </c>
    </row>
    <row r="16" spans="12:12">
      <c r="L16">
        <v>0</v>
      </c>
    </row>
    <row r="17" spans="12:12">
      <c r="L17">
        <v>0</v>
      </c>
    </row>
    <row r="18" spans="12:12">
      <c r="L18">
        <v>0</v>
      </c>
    </row>
    <row r="19" spans="12:12">
      <c r="L19">
        <v>0</v>
      </c>
    </row>
    <row r="20" spans="12:12">
      <c r="L20">
        <v>0</v>
      </c>
    </row>
    <row r="21" spans="12:12">
      <c r="L21">
        <v>0</v>
      </c>
    </row>
    <row r="22" spans="12:12">
      <c r="L22">
        <v>0</v>
      </c>
    </row>
    <row r="23" spans="12:12">
      <c r="L23">
        <v>0</v>
      </c>
    </row>
    <row r="24" spans="12:12">
      <c r="L24">
        <v>0</v>
      </c>
    </row>
    <row r="25" spans="12:12">
      <c r="L25">
        <v>0</v>
      </c>
    </row>
    <row r="26" spans="12:12">
      <c r="L26">
        <v>0</v>
      </c>
    </row>
    <row r="27" spans="12:12">
      <c r="L27">
        <v>0</v>
      </c>
    </row>
    <row r="28" spans="12:12">
      <c r="L28">
        <v>0</v>
      </c>
    </row>
    <row r="29" spans="12:12">
      <c r="L29">
        <v>0</v>
      </c>
    </row>
    <row r="30" spans="12:12"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  <row r="57" spans="12:12">
      <c r="L57">
        <v>0</v>
      </c>
    </row>
  </sheetData>
  <mergeCells count="1">
    <mergeCell ref="B1:D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S56"/>
  <sheetViews>
    <sheetView workbookViewId="0">
      <selection activeCell="N1" sqref="N1:N41"/>
    </sheetView>
  </sheetViews>
  <sheetFormatPr defaultColWidth="9" defaultRowHeight="14.25"/>
  <cols>
    <col min="1" max="1" width="9.875"/>
  </cols>
  <sheetData>
    <row r="1" ht="22.5" spans="1:14">
      <c r="A1" s="95" t="s">
        <v>0</v>
      </c>
      <c r="B1" s="39" t="s">
        <v>279</v>
      </c>
      <c r="C1" s="53"/>
      <c r="D1" s="5"/>
      <c r="E1" s="26" t="s">
        <v>2</v>
      </c>
      <c r="F1" s="42"/>
      <c r="G1" s="6"/>
      <c r="H1" s="96"/>
      <c r="I1" s="45" t="s">
        <v>280</v>
      </c>
      <c r="J1" s="17"/>
      <c r="M1" t="str" cm="1">
        <f t="array" ref="M1:M56">_xlfn.TOCOL(A2:G9)</f>
        <v>粤V9062挂</v>
      </c>
      <c r="N1" t="s">
        <v>281</v>
      </c>
    </row>
    <row r="2" spans="1:14">
      <c r="A2" s="33" t="s">
        <v>281</v>
      </c>
      <c r="B2" s="97" t="s">
        <v>282</v>
      </c>
      <c r="C2" s="33" t="s">
        <v>283</v>
      </c>
      <c r="D2" s="31" t="s">
        <v>284</v>
      </c>
      <c r="E2" s="33" t="s">
        <v>285</v>
      </c>
      <c r="F2" s="8" t="s">
        <v>286</v>
      </c>
      <c r="G2" s="8" t="s">
        <v>287</v>
      </c>
      <c r="H2" s="46"/>
      <c r="I2" s="45">
        <v>852</v>
      </c>
      <c r="J2" s="45">
        <v>520</v>
      </c>
      <c r="M2" t="str">
        <v>粤V8015挂</v>
      </c>
      <c r="N2" t="s">
        <v>282</v>
      </c>
    </row>
    <row r="3" spans="1:14">
      <c r="A3" s="8" t="s">
        <v>288</v>
      </c>
      <c r="B3" s="33" t="s">
        <v>289</v>
      </c>
      <c r="C3" s="97" t="s">
        <v>290</v>
      </c>
      <c r="D3" s="8" t="s">
        <v>291</v>
      </c>
      <c r="E3" s="8" t="s">
        <v>292</v>
      </c>
      <c r="F3" s="8" t="s">
        <v>293</v>
      </c>
      <c r="G3" s="8" t="s">
        <v>294</v>
      </c>
      <c r="H3" s="46"/>
      <c r="M3" t="str">
        <v>粤V1855挂</v>
      </c>
      <c r="N3" t="s">
        <v>283</v>
      </c>
    </row>
    <row r="4" spans="1:14">
      <c r="A4" s="33" t="s">
        <v>295</v>
      </c>
      <c r="B4" s="98" t="s">
        <v>296</v>
      </c>
      <c r="C4" s="8" t="s">
        <v>297</v>
      </c>
      <c r="D4" s="99" t="s">
        <v>298</v>
      </c>
      <c r="E4" s="33" t="s">
        <v>299</v>
      </c>
      <c r="F4" s="8" t="s">
        <v>300</v>
      </c>
      <c r="G4" s="8" t="s">
        <v>301</v>
      </c>
      <c r="H4" s="46"/>
      <c r="M4" t="str">
        <v>粤V6921挂</v>
      </c>
      <c r="N4" t="s">
        <v>284</v>
      </c>
    </row>
    <row r="5" spans="1:14">
      <c r="A5" s="8" t="s">
        <v>302</v>
      </c>
      <c r="B5" s="98" t="s">
        <v>303</v>
      </c>
      <c r="C5" s="8" t="s">
        <v>304</v>
      </c>
      <c r="D5" s="31" t="s">
        <v>305</v>
      </c>
      <c r="E5" s="33" t="s">
        <v>306</v>
      </c>
      <c r="F5" s="8" t="s">
        <v>307</v>
      </c>
      <c r="G5" s="8" t="s">
        <v>308</v>
      </c>
      <c r="H5" s="46"/>
      <c r="M5" t="str">
        <v>粤V5383挂</v>
      </c>
      <c r="N5" t="s">
        <v>285</v>
      </c>
    </row>
    <row r="6" spans="1:14">
      <c r="A6" s="34" t="s">
        <v>309</v>
      </c>
      <c r="B6" s="33" t="s">
        <v>310</v>
      </c>
      <c r="C6" s="100" t="s">
        <v>311</v>
      </c>
      <c r="D6" s="31" t="s">
        <v>312</v>
      </c>
      <c r="E6" s="33" t="s">
        <v>313</v>
      </c>
      <c r="F6" s="8" t="s">
        <v>314</v>
      </c>
      <c r="G6" s="98" t="s">
        <v>315</v>
      </c>
      <c r="J6" s="104"/>
      <c r="M6" t="str">
        <v>赣AQ1359</v>
      </c>
      <c r="N6" t="s">
        <v>286</v>
      </c>
    </row>
    <row r="7" spans="1:14">
      <c r="A7" s="45" t="s">
        <v>316</v>
      </c>
      <c r="B7" s="56" t="s">
        <v>317</v>
      </c>
      <c r="C7" s="45" t="s">
        <v>318</v>
      </c>
      <c r="D7" s="101" t="s">
        <v>319</v>
      </c>
      <c r="E7" s="8" t="s">
        <v>320</v>
      </c>
      <c r="F7" s="8" t="s">
        <v>321</v>
      </c>
      <c r="G7" s="13"/>
      <c r="H7" s="46"/>
      <c r="J7" s="105"/>
      <c r="M7" t="str">
        <v>赣A79551</v>
      </c>
      <c r="N7" t="s">
        <v>287</v>
      </c>
    </row>
    <row r="8" spans="1:14">
      <c r="A8" s="8"/>
      <c r="B8" s="8"/>
      <c r="C8" s="8"/>
      <c r="D8" s="8"/>
      <c r="E8" s="8"/>
      <c r="F8" s="8"/>
      <c r="G8" s="13"/>
      <c r="M8" t="str">
        <v>云AP7151</v>
      </c>
      <c r="N8" t="s">
        <v>288</v>
      </c>
    </row>
    <row r="9" spans="1:14">
      <c r="A9" s="8"/>
      <c r="B9" s="8"/>
      <c r="C9" s="8"/>
      <c r="D9" s="8"/>
      <c r="E9" s="8"/>
      <c r="F9" s="8"/>
      <c r="G9" s="13"/>
      <c r="H9" s="46"/>
      <c r="I9" s="105"/>
      <c r="J9" s="106"/>
      <c r="M9" t="str">
        <v>赣C8803X</v>
      </c>
      <c r="N9" t="s">
        <v>289</v>
      </c>
    </row>
    <row r="10" spans="1:14">
      <c r="A10" s="58"/>
      <c r="B10" s="58"/>
      <c r="C10" s="58"/>
      <c r="D10" s="58"/>
      <c r="E10" s="58"/>
      <c r="F10" s="58"/>
      <c r="G10" s="58"/>
      <c r="M10" t="str">
        <v>赣C3690D</v>
      </c>
      <c r="N10" t="s">
        <v>290</v>
      </c>
    </row>
    <row r="11" spans="1:14">
      <c r="A11" s="16" t="s">
        <v>35</v>
      </c>
      <c r="B11" s="17" t="s">
        <v>36</v>
      </c>
      <c r="C11" s="18" t="s">
        <v>37</v>
      </c>
      <c r="D11" s="17" t="s">
        <v>38</v>
      </c>
      <c r="E11" s="102" t="s">
        <v>39</v>
      </c>
      <c r="F11" s="17" t="s">
        <v>40</v>
      </c>
      <c r="G11" s="17" t="s">
        <v>40</v>
      </c>
      <c r="H11" s="17" t="s">
        <v>40</v>
      </c>
      <c r="M11" t="str">
        <v>赣M75596</v>
      </c>
      <c r="N11" t="s">
        <v>291</v>
      </c>
    </row>
    <row r="12" spans="1:14">
      <c r="A12" s="22">
        <v>45935</v>
      </c>
      <c r="B12" s="23" t="s">
        <v>322</v>
      </c>
      <c r="C12" s="23">
        <v>435</v>
      </c>
      <c r="D12" s="19" t="str">
        <f>IF(C12&gt;=200,"5.85",IF(C12&lt;200,"5.95"))</f>
        <v>5.85</v>
      </c>
      <c r="E12" s="8">
        <f t="shared" ref="E12" si="0">INT(C12*D12)</f>
        <v>2544</v>
      </c>
      <c r="M12" t="str">
        <v>赣AM0706</v>
      </c>
      <c r="N12" t="s">
        <v>292</v>
      </c>
    </row>
    <row r="13" spans="1:14">
      <c r="A13" s="103"/>
      <c r="B13" s="58"/>
      <c r="C13" s="58"/>
      <c r="D13" s="58"/>
      <c r="E13" s="58"/>
      <c r="F13" s="58"/>
      <c r="G13" s="58"/>
      <c r="M13" t="str">
        <v>赣A18033</v>
      </c>
      <c r="N13" t="s">
        <v>293</v>
      </c>
    </row>
    <row r="14" spans="1:14">
      <c r="A14" s="103"/>
      <c r="B14" s="58"/>
      <c r="C14" s="58"/>
      <c r="D14" s="58"/>
      <c r="E14" s="58"/>
      <c r="F14" s="58"/>
      <c r="G14" s="58"/>
      <c r="M14" t="str">
        <v>赣M89207</v>
      </c>
      <c r="N14" t="s">
        <v>294</v>
      </c>
    </row>
    <row r="15" spans="1:14">
      <c r="A15" s="103"/>
      <c r="B15" s="58"/>
      <c r="C15" s="58"/>
      <c r="D15" s="58"/>
      <c r="E15" s="58"/>
      <c r="F15" s="58"/>
      <c r="G15" s="58"/>
      <c r="M15" t="str">
        <v>赣CAA609</v>
      </c>
      <c r="N15" t="s">
        <v>295</v>
      </c>
    </row>
    <row r="16" spans="1:14">
      <c r="A16" s="103"/>
      <c r="B16" s="58"/>
      <c r="C16" s="58"/>
      <c r="D16" s="58"/>
      <c r="E16" s="58"/>
      <c r="F16" s="58"/>
      <c r="G16" s="58"/>
      <c r="M16" t="str">
        <v>赣AP9395</v>
      </c>
      <c r="N16" t="s">
        <v>296</v>
      </c>
    </row>
    <row r="17" spans="13:14">
      <c r="M17" t="str">
        <v>赣M12215</v>
      </c>
      <c r="N17" t="s">
        <v>297</v>
      </c>
    </row>
    <row r="18" spans="13:14">
      <c r="M18" t="str">
        <v>赣C3632D</v>
      </c>
      <c r="N18" t="s">
        <v>298</v>
      </c>
    </row>
    <row r="19" spans="13:14">
      <c r="M19" t="str">
        <v>赣C3631D</v>
      </c>
      <c r="N19" t="s">
        <v>299</v>
      </c>
    </row>
    <row r="20" spans="13:14">
      <c r="M20" t="str">
        <v>粤VNF918</v>
      </c>
      <c r="N20" t="s">
        <v>300</v>
      </c>
    </row>
    <row r="21" spans="13:14">
      <c r="M21" t="str">
        <v>粤VP1434</v>
      </c>
      <c r="N21" t="s">
        <v>301</v>
      </c>
    </row>
    <row r="22" spans="13:19">
      <c r="M22" t="str">
        <v>粤UU7192</v>
      </c>
      <c r="N22" t="s">
        <v>302</v>
      </c>
      <c r="S22" t="s">
        <v>323</v>
      </c>
    </row>
    <row r="23" spans="13:14">
      <c r="M23" t="str">
        <v>皖CC0859</v>
      </c>
      <c r="N23" t="s">
        <v>303</v>
      </c>
    </row>
    <row r="24" spans="13:14">
      <c r="M24" t="str">
        <v>赣AK9528</v>
      </c>
      <c r="N24" t="s">
        <v>304</v>
      </c>
    </row>
    <row r="25" spans="13:14">
      <c r="M25" t="str">
        <v>赣CCF153</v>
      </c>
      <c r="N25" t="s">
        <v>305</v>
      </c>
    </row>
    <row r="26" spans="13:14">
      <c r="M26" t="str">
        <v>赣CBA782</v>
      </c>
      <c r="N26" t="s">
        <v>306</v>
      </c>
    </row>
    <row r="27" spans="13:14">
      <c r="M27" t="str">
        <v>赣A76585</v>
      </c>
      <c r="N27" t="s">
        <v>307</v>
      </c>
    </row>
    <row r="28" spans="13:14">
      <c r="M28" t="str">
        <v>赣M75987</v>
      </c>
      <c r="N28" t="s">
        <v>308</v>
      </c>
    </row>
    <row r="29" spans="13:14">
      <c r="M29" t="str">
        <v>赣C7876X</v>
      </c>
      <c r="N29" t="s">
        <v>309</v>
      </c>
    </row>
    <row r="30" spans="13:14">
      <c r="M30" t="str">
        <v>赣C6305X</v>
      </c>
      <c r="N30" t="s">
        <v>310</v>
      </c>
    </row>
    <row r="31" spans="13:14">
      <c r="M31" t="str">
        <v>赣CC7485</v>
      </c>
      <c r="N31" t="s">
        <v>311</v>
      </c>
    </row>
    <row r="32" spans="13:14">
      <c r="M32" t="str">
        <v>赣C5771X</v>
      </c>
      <c r="N32" t="s">
        <v>312</v>
      </c>
    </row>
    <row r="33" spans="13:14">
      <c r="M33" t="str">
        <v>赣C3389D</v>
      </c>
      <c r="N33" t="s">
        <v>313</v>
      </c>
    </row>
    <row r="34" spans="13:14">
      <c r="M34" t="str">
        <v>赣M13300</v>
      </c>
      <c r="N34" t="s">
        <v>314</v>
      </c>
    </row>
    <row r="35" spans="13:14">
      <c r="M35" t="str">
        <v>赣M22526</v>
      </c>
      <c r="N35" t="s">
        <v>315</v>
      </c>
    </row>
    <row r="36" spans="13:14">
      <c r="M36" t="str">
        <v>赣M56992</v>
      </c>
      <c r="N36" t="s">
        <v>316</v>
      </c>
    </row>
    <row r="37" spans="13:14">
      <c r="M37" t="str">
        <v>粤VN2395</v>
      </c>
      <c r="N37" t="s">
        <v>317</v>
      </c>
    </row>
    <row r="38" spans="13:14">
      <c r="M38" t="str">
        <v>粤VG3523</v>
      </c>
      <c r="N38" t="s">
        <v>318</v>
      </c>
    </row>
    <row r="39" spans="13:14">
      <c r="M39" t="str">
        <v>粤VJ4386</v>
      </c>
      <c r="N39" t="s">
        <v>319</v>
      </c>
    </row>
    <row r="40" spans="13:14">
      <c r="M40" t="str">
        <v>赣M29965</v>
      </c>
      <c r="N40" t="s">
        <v>320</v>
      </c>
    </row>
    <row r="41" spans="13:14">
      <c r="M41" t="str">
        <v>赣AE5681</v>
      </c>
      <c r="N41" t="s">
        <v>321</v>
      </c>
    </row>
    <row r="42" spans="13:13">
      <c r="M42">
        <v>0</v>
      </c>
    </row>
    <row r="43" spans="13:13">
      <c r="M43">
        <v>0</v>
      </c>
    </row>
    <row r="44" spans="13:13">
      <c r="M44">
        <v>0</v>
      </c>
    </row>
    <row r="45" spans="13:13">
      <c r="M45">
        <v>0</v>
      </c>
    </row>
    <row r="46" spans="13:13">
      <c r="M46">
        <v>0</v>
      </c>
    </row>
    <row r="47" spans="13:13">
      <c r="M47">
        <v>0</v>
      </c>
    </row>
    <row r="48" spans="13:13">
      <c r="M48">
        <v>0</v>
      </c>
    </row>
    <row r="49" spans="13:13">
      <c r="M49">
        <v>0</v>
      </c>
    </row>
    <row r="50" spans="13:13">
      <c r="M50">
        <v>0</v>
      </c>
    </row>
    <row r="51" spans="13:13">
      <c r="M51">
        <v>0</v>
      </c>
    </row>
    <row r="52" spans="13:13">
      <c r="M52">
        <v>0</v>
      </c>
    </row>
    <row r="53" spans="13:13">
      <c r="M53">
        <v>0</v>
      </c>
    </row>
    <row r="54" spans="13:13">
      <c r="M54">
        <v>0</v>
      </c>
    </row>
    <row r="55" spans="13:13">
      <c r="M55">
        <v>0</v>
      </c>
    </row>
    <row r="56" spans="13:13">
      <c r="M56">
        <v>0</v>
      </c>
    </row>
  </sheetData>
  <conditionalFormatting sqref="I6:J10">
    <cfRule type="duplicateValues" dxfId="2" priority="2"/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M56"/>
  <sheetViews>
    <sheetView topLeftCell="A13" workbookViewId="0">
      <selection activeCell="A40" sqref="A40:E47"/>
    </sheetView>
  </sheetViews>
  <sheetFormatPr defaultColWidth="9" defaultRowHeight="14.25"/>
  <cols>
    <col min="1" max="2" width="11.4" customWidth="1"/>
  </cols>
  <sheetData>
    <row r="1" ht="18.75" spans="1:13">
      <c r="A1" s="1" t="s">
        <v>0</v>
      </c>
      <c r="B1" s="88" t="s">
        <v>324</v>
      </c>
      <c r="C1" s="75"/>
      <c r="D1" s="5"/>
      <c r="E1" s="41">
        <v>5.85</v>
      </c>
      <c r="F1" s="34"/>
      <c r="G1" s="34"/>
      <c r="L1" t="str" cm="1">
        <f t="array" ref="L1:L56">_xlfn.TOCOL(A2:G9)</f>
        <v>粤V7Q601</v>
      </c>
      <c r="M1" t="s">
        <v>325</v>
      </c>
    </row>
    <row r="2" spans="1:13">
      <c r="A2" s="34" t="s">
        <v>325</v>
      </c>
      <c r="B2" s="75" t="s">
        <v>326</v>
      </c>
      <c r="C2" s="75" t="s">
        <v>327</v>
      </c>
      <c r="D2" s="34" t="s">
        <v>328</v>
      </c>
      <c r="E2" s="34" t="s">
        <v>329</v>
      </c>
      <c r="F2" s="45" t="s">
        <v>330</v>
      </c>
      <c r="G2" s="34" t="s">
        <v>331</v>
      </c>
      <c r="L2" t="str">
        <v>粤A89KG0</v>
      </c>
      <c r="M2" t="s">
        <v>326</v>
      </c>
    </row>
    <row r="3" spans="1:13">
      <c r="A3" s="34" t="s">
        <v>332</v>
      </c>
      <c r="B3" s="34" t="s">
        <v>333</v>
      </c>
      <c r="C3" s="34" t="s">
        <v>334</v>
      </c>
      <c r="D3" s="34" t="s">
        <v>335</v>
      </c>
      <c r="E3" s="34" t="s">
        <v>336</v>
      </c>
      <c r="F3" s="34" t="s">
        <v>337</v>
      </c>
      <c r="G3" s="34" t="s">
        <v>338</v>
      </c>
      <c r="L3" t="str">
        <v>粤ADQ017</v>
      </c>
      <c r="M3" t="s">
        <v>327</v>
      </c>
    </row>
    <row r="4" spans="1:13">
      <c r="A4" s="89" t="s">
        <v>339</v>
      </c>
      <c r="B4" s="75" t="s">
        <v>340</v>
      </c>
      <c r="C4" s="89" t="s">
        <v>341</v>
      </c>
      <c r="D4" s="34" t="s">
        <v>342</v>
      </c>
      <c r="E4" s="34" t="s">
        <v>343</v>
      </c>
      <c r="F4" s="45" t="s">
        <v>344</v>
      </c>
      <c r="G4" s="8"/>
      <c r="L4" t="str">
        <v>粤ABZ619</v>
      </c>
      <c r="M4" t="s">
        <v>328</v>
      </c>
    </row>
    <row r="5" spans="1:13">
      <c r="A5" s="8"/>
      <c r="B5" s="8"/>
      <c r="C5" s="8"/>
      <c r="D5" s="8"/>
      <c r="E5" s="45"/>
      <c r="F5" s="45"/>
      <c r="G5" s="8"/>
      <c r="L5" t="str">
        <v>粤BLC651</v>
      </c>
      <c r="M5" t="s">
        <v>329</v>
      </c>
    </row>
    <row r="6" spans="1:13">
      <c r="A6" s="14"/>
      <c r="B6" s="8"/>
      <c r="C6" s="8"/>
      <c r="D6" s="8"/>
      <c r="E6" s="8"/>
      <c r="F6" s="8"/>
      <c r="G6" s="8"/>
      <c r="L6" t="str">
        <v>粤BMJ270</v>
      </c>
      <c r="M6" t="s">
        <v>330</v>
      </c>
    </row>
    <row r="7" spans="1:13">
      <c r="A7" s="14"/>
      <c r="B7" s="34"/>
      <c r="C7" s="75"/>
      <c r="D7" s="34"/>
      <c r="E7" s="34"/>
      <c r="F7" s="34"/>
      <c r="G7" s="34"/>
      <c r="L7" t="str">
        <v>粤BKM787</v>
      </c>
      <c r="M7" t="s">
        <v>331</v>
      </c>
    </row>
    <row r="8" spans="1:13">
      <c r="A8" s="14"/>
      <c r="B8" s="34"/>
      <c r="C8" s="45"/>
      <c r="D8" s="45"/>
      <c r="E8" s="45"/>
      <c r="F8" s="45"/>
      <c r="G8" s="34"/>
      <c r="L8" t="str">
        <v>粤ADL651</v>
      </c>
      <c r="M8" t="s">
        <v>332</v>
      </c>
    </row>
    <row r="9" spans="1:13">
      <c r="A9" s="14"/>
      <c r="B9" s="47"/>
      <c r="C9" s="45"/>
      <c r="D9" s="56"/>
      <c r="E9" s="90"/>
      <c r="F9" s="90"/>
      <c r="G9" s="91"/>
      <c r="L9" t="str">
        <v>粤ACJ903</v>
      </c>
      <c r="M9" t="s">
        <v>333</v>
      </c>
    </row>
    <row r="10" spans="1:13">
      <c r="A10" s="48"/>
      <c r="B10" s="92"/>
      <c r="C10" s="93"/>
      <c r="D10" s="92"/>
      <c r="E10" s="92"/>
      <c r="F10" s="92"/>
      <c r="G10" s="92"/>
      <c r="L10" t="str">
        <v>粤AJK235</v>
      </c>
      <c r="M10" t="s">
        <v>334</v>
      </c>
    </row>
    <row r="11" spans="1:13">
      <c r="A11" s="48"/>
      <c r="B11" s="94"/>
      <c r="C11" s="93"/>
      <c r="D11" s="92"/>
      <c r="E11" s="92"/>
      <c r="F11" s="92"/>
      <c r="G11" s="92"/>
      <c r="L11" t="str">
        <v>粤AFC987</v>
      </c>
      <c r="M11" t="s">
        <v>335</v>
      </c>
    </row>
    <row r="12" spans="1:13">
      <c r="A12" s="16" t="s">
        <v>35</v>
      </c>
      <c r="B12" s="17" t="s">
        <v>36</v>
      </c>
      <c r="C12" s="18" t="s">
        <v>37</v>
      </c>
      <c r="D12" s="17" t="s">
        <v>38</v>
      </c>
      <c r="E12" s="17" t="s">
        <v>39</v>
      </c>
      <c r="F12" s="17" t="s">
        <v>40</v>
      </c>
      <c r="G12" s="17" t="s">
        <v>40</v>
      </c>
      <c r="H12" s="17" t="s">
        <v>40</v>
      </c>
      <c r="L12" t="str">
        <v>粤AKJ366</v>
      </c>
      <c r="M12" t="s">
        <v>336</v>
      </c>
    </row>
    <row r="13" spans="1:13">
      <c r="A13" s="22">
        <v>45923</v>
      </c>
      <c r="B13" s="23" t="s">
        <v>345</v>
      </c>
      <c r="C13" s="23">
        <v>143.71</v>
      </c>
      <c r="D13" s="8">
        <v>5.75</v>
      </c>
      <c r="E13" s="8">
        <f t="shared" ref="E13:E23" si="0">INT(C13*D13)</f>
        <v>826</v>
      </c>
      <c r="L13" t="str">
        <v>粤ACQ649</v>
      </c>
      <c r="M13" t="s">
        <v>337</v>
      </c>
    </row>
    <row r="14" spans="1:13">
      <c r="A14" s="22">
        <v>45924</v>
      </c>
      <c r="B14" s="23" t="s">
        <v>346</v>
      </c>
      <c r="C14" s="23">
        <v>212.03</v>
      </c>
      <c r="D14" s="8">
        <v>5.75</v>
      </c>
      <c r="E14" s="8">
        <f t="shared" si="0"/>
        <v>1219</v>
      </c>
      <c r="L14" t="str">
        <v>皖SB5581</v>
      </c>
      <c r="M14" t="s">
        <v>338</v>
      </c>
    </row>
    <row r="15" spans="1:13">
      <c r="A15" s="22">
        <v>45925</v>
      </c>
      <c r="B15" s="23" t="s">
        <v>347</v>
      </c>
      <c r="C15" s="23">
        <v>132.26</v>
      </c>
      <c r="D15" s="8">
        <v>5.75</v>
      </c>
      <c r="E15" s="8">
        <f t="shared" si="0"/>
        <v>760</v>
      </c>
      <c r="L15" t="str">
        <v>粤VW1235</v>
      </c>
      <c r="M15" t="s">
        <v>339</v>
      </c>
    </row>
    <row r="16" spans="1:13">
      <c r="A16" s="22">
        <v>45926</v>
      </c>
      <c r="B16" s="23" t="s">
        <v>348</v>
      </c>
      <c r="C16" s="23">
        <v>152.61</v>
      </c>
      <c r="D16" s="8">
        <v>5.75</v>
      </c>
      <c r="E16" s="8">
        <f t="shared" si="0"/>
        <v>877</v>
      </c>
      <c r="L16" t="str">
        <v>赣FD0010</v>
      </c>
      <c r="M16" t="s">
        <v>340</v>
      </c>
    </row>
    <row r="17" spans="1:13">
      <c r="A17" s="22">
        <v>45926</v>
      </c>
      <c r="B17" s="23" t="s">
        <v>349</v>
      </c>
      <c r="C17" s="23">
        <v>144.01</v>
      </c>
      <c r="D17" s="8">
        <v>5.75</v>
      </c>
      <c r="E17" s="8">
        <f t="shared" si="0"/>
        <v>828</v>
      </c>
      <c r="L17" t="str">
        <v>赣A11289</v>
      </c>
      <c r="M17" t="s">
        <v>341</v>
      </c>
    </row>
    <row r="18" spans="1:13">
      <c r="A18" s="22">
        <v>45926</v>
      </c>
      <c r="B18" s="23" t="s">
        <v>350</v>
      </c>
      <c r="C18" s="23">
        <v>164.81</v>
      </c>
      <c r="D18" s="8">
        <v>5.75</v>
      </c>
      <c r="E18" s="8">
        <f t="shared" si="0"/>
        <v>947</v>
      </c>
      <c r="L18" t="str">
        <v>赣CAY593</v>
      </c>
      <c r="M18" t="s">
        <v>342</v>
      </c>
    </row>
    <row r="19" spans="1:13">
      <c r="A19" s="22">
        <v>45928</v>
      </c>
      <c r="B19" s="23" t="s">
        <v>345</v>
      </c>
      <c r="C19" s="23">
        <v>157.43</v>
      </c>
      <c r="D19" s="8">
        <v>5.85</v>
      </c>
      <c r="E19" s="8">
        <f t="shared" si="0"/>
        <v>920</v>
      </c>
      <c r="L19" t="str">
        <v>粤BFE684</v>
      </c>
      <c r="M19" t="s">
        <v>343</v>
      </c>
    </row>
    <row r="20" spans="1:13">
      <c r="A20" s="22">
        <v>45929</v>
      </c>
      <c r="B20" s="23" t="s">
        <v>347</v>
      </c>
      <c r="C20" s="23">
        <v>148.22</v>
      </c>
      <c r="D20" s="8">
        <v>5.85</v>
      </c>
      <c r="E20" s="8">
        <f t="shared" si="0"/>
        <v>867</v>
      </c>
      <c r="L20" t="str">
        <v>粤AFP226</v>
      </c>
      <c r="M20" t="s">
        <v>344</v>
      </c>
    </row>
    <row r="21" spans="1:12">
      <c r="A21" s="22">
        <v>45929</v>
      </c>
      <c r="B21" s="23" t="s">
        <v>349</v>
      </c>
      <c r="C21" s="23">
        <v>133.45</v>
      </c>
      <c r="D21" s="8">
        <v>5.85</v>
      </c>
      <c r="E21" s="8">
        <f t="shared" si="0"/>
        <v>780</v>
      </c>
      <c r="L21">
        <v>0</v>
      </c>
    </row>
    <row r="22" spans="1:12">
      <c r="A22" s="22">
        <v>45930</v>
      </c>
      <c r="B22" s="23" t="s">
        <v>350</v>
      </c>
      <c r="C22" s="23">
        <v>159.51</v>
      </c>
      <c r="D22" s="8">
        <v>5.85</v>
      </c>
      <c r="E22" s="8">
        <f t="shared" si="0"/>
        <v>933</v>
      </c>
      <c r="L22">
        <v>0</v>
      </c>
    </row>
    <row r="23" spans="1:12">
      <c r="A23" s="22">
        <v>45930</v>
      </c>
      <c r="B23" s="23" t="s">
        <v>351</v>
      </c>
      <c r="C23" s="23">
        <v>321.95</v>
      </c>
      <c r="D23" s="8">
        <v>5.85</v>
      </c>
      <c r="E23" s="8">
        <f t="shared" si="0"/>
        <v>1883</v>
      </c>
      <c r="L23">
        <v>0</v>
      </c>
    </row>
    <row r="24" spans="1:12">
      <c r="A24" s="22">
        <v>45932</v>
      </c>
      <c r="B24" s="23" t="s">
        <v>352</v>
      </c>
      <c r="C24" s="23">
        <v>278.66</v>
      </c>
      <c r="D24" s="8">
        <v>5.85</v>
      </c>
      <c r="E24" s="8">
        <f t="shared" ref="E24:E29" si="1">INT(C24*D24)</f>
        <v>1630</v>
      </c>
      <c r="L24">
        <v>0</v>
      </c>
    </row>
    <row r="25" spans="1:12">
      <c r="A25" s="22">
        <v>45933</v>
      </c>
      <c r="B25" s="23" t="s">
        <v>346</v>
      </c>
      <c r="C25" s="23">
        <v>207.05</v>
      </c>
      <c r="D25" s="8">
        <v>5.85</v>
      </c>
      <c r="E25" s="8">
        <f t="shared" si="1"/>
        <v>1211</v>
      </c>
      <c r="L25">
        <v>0</v>
      </c>
    </row>
    <row r="26" spans="1:12">
      <c r="A26" s="22">
        <v>45933</v>
      </c>
      <c r="B26" s="23" t="s">
        <v>347</v>
      </c>
      <c r="C26" s="23">
        <v>135.83</v>
      </c>
      <c r="D26" s="8">
        <v>5.85</v>
      </c>
      <c r="E26" s="8">
        <f t="shared" si="1"/>
        <v>794</v>
      </c>
      <c r="L26">
        <v>0</v>
      </c>
    </row>
    <row r="27" spans="1:12">
      <c r="A27" s="22">
        <v>45934</v>
      </c>
      <c r="B27" s="23" t="s">
        <v>353</v>
      </c>
      <c r="C27" s="23">
        <v>295.57</v>
      </c>
      <c r="D27" s="8">
        <v>5.85</v>
      </c>
      <c r="E27" s="8">
        <f t="shared" si="1"/>
        <v>1729</v>
      </c>
      <c r="L27">
        <v>0</v>
      </c>
    </row>
    <row r="28" spans="1:12">
      <c r="A28" s="22">
        <v>45934</v>
      </c>
      <c r="B28" s="23" t="s">
        <v>350</v>
      </c>
      <c r="C28" s="23">
        <v>137.49</v>
      </c>
      <c r="D28" s="8">
        <v>5.85</v>
      </c>
      <c r="E28" s="8">
        <f t="shared" si="1"/>
        <v>804</v>
      </c>
      <c r="L28">
        <v>0</v>
      </c>
    </row>
    <row r="29" spans="1:12">
      <c r="A29" s="22">
        <v>45934</v>
      </c>
      <c r="B29" s="23" t="s">
        <v>345</v>
      </c>
      <c r="C29" s="23">
        <v>166.02</v>
      </c>
      <c r="D29" s="8">
        <v>5.85</v>
      </c>
      <c r="E29" s="8">
        <f t="shared" si="1"/>
        <v>971</v>
      </c>
      <c r="L29">
        <v>0</v>
      </c>
    </row>
    <row r="30" spans="4:12">
      <c r="D30" s="8"/>
      <c r="E30" s="8"/>
      <c r="F30">
        <f>SUM(E24:E29)</f>
        <v>7139</v>
      </c>
      <c r="L30">
        <v>0</v>
      </c>
    </row>
    <row r="31" spans="1:12">
      <c r="A31" s="22">
        <v>45935</v>
      </c>
      <c r="B31" s="23" t="s">
        <v>349</v>
      </c>
      <c r="C31" s="23">
        <v>159.84</v>
      </c>
      <c r="D31" s="8">
        <v>5.85</v>
      </c>
      <c r="E31" s="8">
        <f t="shared" ref="E30:E38" si="2">INT(C31*D31)</f>
        <v>935</v>
      </c>
      <c r="L31">
        <v>0</v>
      </c>
    </row>
    <row r="32" spans="1:12">
      <c r="A32" s="22">
        <v>45936</v>
      </c>
      <c r="B32" s="23" t="s">
        <v>348</v>
      </c>
      <c r="C32" s="23">
        <v>166</v>
      </c>
      <c r="D32" s="8">
        <v>5.85</v>
      </c>
      <c r="E32" s="8">
        <f t="shared" si="2"/>
        <v>971</v>
      </c>
      <c r="L32">
        <v>0</v>
      </c>
    </row>
    <row r="33" spans="1:12">
      <c r="A33" s="22">
        <v>45937</v>
      </c>
      <c r="B33" s="23" t="s">
        <v>347</v>
      </c>
      <c r="C33" s="23">
        <v>149.54</v>
      </c>
      <c r="D33" s="8">
        <v>5.85</v>
      </c>
      <c r="E33" s="8">
        <f t="shared" si="2"/>
        <v>874</v>
      </c>
      <c r="L33">
        <v>0</v>
      </c>
    </row>
    <row r="34" spans="1:12">
      <c r="A34" s="22">
        <v>45938</v>
      </c>
      <c r="B34" s="23" t="s">
        <v>345</v>
      </c>
      <c r="C34" s="23">
        <v>123.86</v>
      </c>
      <c r="D34" s="8">
        <v>5.85</v>
      </c>
      <c r="E34" s="8">
        <f t="shared" si="2"/>
        <v>724</v>
      </c>
      <c r="L34">
        <v>0</v>
      </c>
    </row>
    <row r="35" spans="1:12">
      <c r="A35" s="22">
        <v>45938</v>
      </c>
      <c r="B35" s="23" t="s">
        <v>350</v>
      </c>
      <c r="C35" s="23">
        <v>138.9</v>
      </c>
      <c r="D35" s="8">
        <v>5.85</v>
      </c>
      <c r="E35" s="8">
        <f t="shared" si="2"/>
        <v>812</v>
      </c>
      <c r="L35">
        <v>0</v>
      </c>
    </row>
    <row r="36" spans="1:12">
      <c r="A36" s="22">
        <v>45939</v>
      </c>
      <c r="B36" s="23" t="s">
        <v>353</v>
      </c>
      <c r="C36" s="23">
        <v>100.23</v>
      </c>
      <c r="D36" s="8">
        <v>5.85</v>
      </c>
      <c r="E36" s="8">
        <f t="shared" si="2"/>
        <v>586</v>
      </c>
      <c r="L36">
        <v>0</v>
      </c>
    </row>
    <row r="37" spans="1:12">
      <c r="A37" s="22">
        <v>45940</v>
      </c>
      <c r="B37" s="23" t="s">
        <v>348</v>
      </c>
      <c r="C37" s="23">
        <v>146.41</v>
      </c>
      <c r="D37" s="8">
        <v>5.85</v>
      </c>
      <c r="E37" s="8">
        <f t="shared" si="2"/>
        <v>856</v>
      </c>
      <c r="L37">
        <v>0</v>
      </c>
    </row>
    <row r="38" spans="1:12">
      <c r="A38" s="22">
        <v>45940</v>
      </c>
      <c r="B38" s="23" t="s">
        <v>347</v>
      </c>
      <c r="C38" s="23">
        <v>144.61</v>
      </c>
      <c r="D38" s="8">
        <v>5.85</v>
      </c>
      <c r="E38" s="8">
        <f t="shared" si="2"/>
        <v>845</v>
      </c>
      <c r="L38">
        <v>0</v>
      </c>
    </row>
    <row r="39" spans="5:12">
      <c r="E39" s="8">
        <f t="shared" ref="E39:E46" si="3">INT(C39*D39)</f>
        <v>0</v>
      </c>
      <c r="F39">
        <f>SUM(E31:E38)</f>
        <v>6603</v>
      </c>
      <c r="L39">
        <v>0</v>
      </c>
    </row>
    <row r="40" spans="1:12">
      <c r="A40" s="22">
        <v>45941</v>
      </c>
      <c r="B40" s="23" t="s">
        <v>337</v>
      </c>
      <c r="C40" s="23">
        <v>266.81</v>
      </c>
      <c r="D40" s="8">
        <v>5.75</v>
      </c>
      <c r="E40" s="8">
        <f t="shared" si="3"/>
        <v>1534</v>
      </c>
      <c r="L40">
        <v>0</v>
      </c>
    </row>
    <row r="41" spans="1:12">
      <c r="A41" s="22">
        <v>45941</v>
      </c>
      <c r="B41" s="23" t="s">
        <v>335</v>
      </c>
      <c r="C41" s="23">
        <v>140.88</v>
      </c>
      <c r="D41" s="8">
        <v>5.75</v>
      </c>
      <c r="E41" s="8">
        <f t="shared" si="3"/>
        <v>810</v>
      </c>
      <c r="L41">
        <v>0</v>
      </c>
    </row>
    <row r="42" spans="1:12">
      <c r="A42" s="22">
        <v>45941</v>
      </c>
      <c r="B42" s="23" t="s">
        <v>332</v>
      </c>
      <c r="C42" s="23">
        <v>126.81</v>
      </c>
      <c r="D42" s="8">
        <v>5.75</v>
      </c>
      <c r="E42" s="8">
        <f t="shared" si="3"/>
        <v>729</v>
      </c>
      <c r="L42">
        <v>0</v>
      </c>
    </row>
    <row r="43" spans="1:12">
      <c r="A43" s="22">
        <v>45942</v>
      </c>
      <c r="B43" s="23" t="s">
        <v>336</v>
      </c>
      <c r="C43" s="23">
        <v>143.11</v>
      </c>
      <c r="D43" s="8">
        <v>5.75</v>
      </c>
      <c r="E43" s="8">
        <f t="shared" si="3"/>
        <v>822</v>
      </c>
      <c r="L43">
        <v>0</v>
      </c>
    </row>
    <row r="44" spans="1:12">
      <c r="A44" s="22">
        <v>45942</v>
      </c>
      <c r="B44" s="23" t="s">
        <v>339</v>
      </c>
      <c r="C44" s="23">
        <v>92.25</v>
      </c>
      <c r="D44" s="8">
        <v>5.75</v>
      </c>
      <c r="E44" s="8">
        <f t="shared" si="3"/>
        <v>530</v>
      </c>
      <c r="L44">
        <v>0</v>
      </c>
    </row>
    <row r="45" spans="1:12">
      <c r="A45" s="22">
        <v>45943</v>
      </c>
      <c r="B45" s="23" t="s">
        <v>332</v>
      </c>
      <c r="C45" s="23">
        <v>132.64</v>
      </c>
      <c r="D45" s="8">
        <v>5.75</v>
      </c>
      <c r="E45" s="8">
        <f t="shared" si="3"/>
        <v>762</v>
      </c>
      <c r="L45">
        <v>0</v>
      </c>
    </row>
    <row r="46" spans="1:12">
      <c r="A46" s="22">
        <v>45943</v>
      </c>
      <c r="B46" s="23" t="s">
        <v>344</v>
      </c>
      <c r="C46" s="23">
        <v>124.85</v>
      </c>
      <c r="D46" s="8">
        <v>5.75</v>
      </c>
      <c r="E46" s="8">
        <f t="shared" si="3"/>
        <v>717</v>
      </c>
      <c r="L46">
        <v>0</v>
      </c>
    </row>
    <row r="47" spans="5:12">
      <c r="E47">
        <f>SUM(E40:E46)</f>
        <v>5904</v>
      </c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conditionalFormatting sqref="B9:G11">
    <cfRule type="duplicateValues" dxfId="2" priority="1" stopIfTrue="1"/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L56"/>
  <sheetViews>
    <sheetView zoomScale="110" zoomScaleNormal="110" topLeftCell="A18" workbookViewId="0">
      <selection activeCell="A40" sqref="A40:E48"/>
    </sheetView>
  </sheetViews>
  <sheetFormatPr defaultColWidth="9" defaultRowHeight="14.25"/>
  <cols>
    <col min="1" max="1" width="12" customWidth="1"/>
  </cols>
  <sheetData>
    <row r="1" ht="22.5" spans="1:12">
      <c r="A1" s="82" t="s">
        <v>0</v>
      </c>
      <c r="B1" s="71" t="s">
        <v>354</v>
      </c>
      <c r="C1" s="72"/>
      <c r="D1" s="73"/>
      <c r="E1" s="84">
        <v>5.85</v>
      </c>
      <c r="F1" s="74"/>
      <c r="K1" t="str" cm="1">
        <f t="array" ref="K1:K56">_xlfn.TOCOL(A2:G9)</f>
        <v>粤VH9031</v>
      </c>
      <c r="L1" t="s">
        <v>355</v>
      </c>
    </row>
    <row r="2" spans="1:12">
      <c r="A2" s="45" t="s">
        <v>355</v>
      </c>
      <c r="B2" s="56" t="s">
        <v>356</v>
      </c>
      <c r="C2" s="45" t="s">
        <v>357</v>
      </c>
      <c r="D2" s="45" t="s">
        <v>358</v>
      </c>
      <c r="E2" s="45" t="s">
        <v>359</v>
      </c>
      <c r="F2" s="45" t="s">
        <v>360</v>
      </c>
      <c r="G2" s="45" t="s">
        <v>361</v>
      </c>
      <c r="K2" t="str">
        <v>粤V05216</v>
      </c>
      <c r="L2" t="s">
        <v>356</v>
      </c>
    </row>
    <row r="3" spans="1:12">
      <c r="A3" s="45" t="s">
        <v>362</v>
      </c>
      <c r="B3" s="86" t="s">
        <v>363</v>
      </c>
      <c r="C3" s="8"/>
      <c r="D3" s="8"/>
      <c r="E3" s="34"/>
      <c r="F3" s="8"/>
      <c r="G3" s="8"/>
      <c r="K3" t="str">
        <v>粤VM9409</v>
      </c>
      <c r="L3" t="s">
        <v>357</v>
      </c>
    </row>
    <row r="4" spans="1:12">
      <c r="A4" s="87"/>
      <c r="C4" s="8"/>
      <c r="D4" s="8"/>
      <c r="E4" s="8"/>
      <c r="F4" s="8"/>
      <c r="G4" s="8"/>
      <c r="K4" t="str">
        <v>赣C3897D</v>
      </c>
      <c r="L4" t="s">
        <v>358</v>
      </c>
    </row>
    <row r="5" spans="1:12">
      <c r="A5" s="87"/>
      <c r="B5" s="45"/>
      <c r="C5" s="56"/>
      <c r="D5" s="45"/>
      <c r="E5" s="45"/>
      <c r="F5" s="45"/>
      <c r="G5" s="8"/>
      <c r="K5" t="str">
        <v>粤V62021</v>
      </c>
      <c r="L5" t="s">
        <v>359</v>
      </c>
    </row>
    <row r="6" spans="1:12">
      <c r="A6" s="87"/>
      <c r="B6" s="45"/>
      <c r="C6" s="56"/>
      <c r="D6" s="45"/>
      <c r="E6" s="45"/>
      <c r="F6" s="45"/>
      <c r="G6" s="8"/>
      <c r="K6" t="str">
        <v>粤VR3356</v>
      </c>
      <c r="L6" t="s">
        <v>360</v>
      </c>
    </row>
    <row r="7" spans="1:12">
      <c r="A7" s="87"/>
      <c r="B7" s="45"/>
      <c r="C7" s="56"/>
      <c r="D7" s="34"/>
      <c r="E7" s="45"/>
      <c r="F7" s="45"/>
      <c r="G7" s="8"/>
      <c r="K7" t="str">
        <v>赣C2892D</v>
      </c>
      <c r="L7" t="s">
        <v>361</v>
      </c>
    </row>
    <row r="8" spans="1:12">
      <c r="A8" s="87"/>
      <c r="B8" s="45"/>
      <c r="C8" s="56"/>
      <c r="D8" s="45"/>
      <c r="E8" s="45"/>
      <c r="F8" s="45"/>
      <c r="G8" s="8"/>
      <c r="K8" t="str">
        <v>粤V27325</v>
      </c>
      <c r="L8" t="s">
        <v>362</v>
      </c>
    </row>
    <row r="9" spans="1:12">
      <c r="A9" s="87"/>
      <c r="B9" s="45"/>
      <c r="C9" s="56"/>
      <c r="D9" s="45"/>
      <c r="E9" s="34"/>
      <c r="F9" s="34"/>
      <c r="G9" s="8"/>
      <c r="K9" t="str">
        <v>粤VS1096</v>
      </c>
      <c r="L9" t="s">
        <v>363</v>
      </c>
    </row>
    <row r="10" spans="1:11">
      <c r="A10" s="30"/>
      <c r="K10">
        <v>0</v>
      </c>
    </row>
    <row r="11" spans="1:11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K11">
        <v>0</v>
      </c>
    </row>
    <row r="12" spans="1:11">
      <c r="A12" s="22">
        <v>45927</v>
      </c>
      <c r="B12" s="23" t="s">
        <v>364</v>
      </c>
      <c r="C12" s="23">
        <v>420</v>
      </c>
      <c r="D12" s="8">
        <v>5.75</v>
      </c>
      <c r="E12" s="8">
        <f t="shared" ref="E12:E24" si="0">INT(C12*D12)</f>
        <v>2415</v>
      </c>
      <c r="K12">
        <v>0</v>
      </c>
    </row>
    <row r="13" spans="1:11">
      <c r="A13" s="22">
        <v>45927</v>
      </c>
      <c r="B13" s="23" t="s">
        <v>365</v>
      </c>
      <c r="C13" s="23">
        <v>350</v>
      </c>
      <c r="D13" s="8">
        <v>5.75</v>
      </c>
      <c r="E13" s="8">
        <f t="shared" si="0"/>
        <v>2012</v>
      </c>
      <c r="K13">
        <v>0</v>
      </c>
    </row>
    <row r="14" spans="1:11">
      <c r="A14" s="22">
        <v>45928</v>
      </c>
      <c r="B14" s="23" t="s">
        <v>366</v>
      </c>
      <c r="C14" s="23">
        <v>340</v>
      </c>
      <c r="D14" s="8">
        <v>5.85</v>
      </c>
      <c r="E14" s="8">
        <f t="shared" si="0"/>
        <v>1989</v>
      </c>
      <c r="K14">
        <v>0</v>
      </c>
    </row>
    <row r="15" spans="1:11">
      <c r="A15" s="22">
        <v>45928</v>
      </c>
      <c r="B15" s="23" t="s">
        <v>367</v>
      </c>
      <c r="C15" s="23">
        <v>360</v>
      </c>
      <c r="D15" s="8">
        <v>5.85</v>
      </c>
      <c r="E15" s="8">
        <f t="shared" si="0"/>
        <v>2106</v>
      </c>
      <c r="K15">
        <v>0</v>
      </c>
    </row>
    <row r="16" spans="1:11">
      <c r="A16" s="22">
        <v>45929</v>
      </c>
      <c r="B16" s="23" t="s">
        <v>368</v>
      </c>
      <c r="C16" s="23">
        <v>400</v>
      </c>
      <c r="D16" s="8">
        <v>5.85</v>
      </c>
      <c r="E16" s="8">
        <f t="shared" si="0"/>
        <v>2340</v>
      </c>
      <c r="K16">
        <v>0</v>
      </c>
    </row>
    <row r="17" spans="1:11">
      <c r="A17" s="22">
        <v>45929</v>
      </c>
      <c r="B17" s="23" t="s">
        <v>365</v>
      </c>
      <c r="C17" s="23">
        <v>350</v>
      </c>
      <c r="D17" s="8">
        <v>5.85</v>
      </c>
      <c r="E17" s="8">
        <f t="shared" si="0"/>
        <v>2047</v>
      </c>
      <c r="K17">
        <v>0</v>
      </c>
    </row>
    <row r="18" spans="1:11">
      <c r="A18" s="22">
        <v>45929</v>
      </c>
      <c r="B18" s="23" t="s">
        <v>369</v>
      </c>
      <c r="C18" s="23">
        <v>360</v>
      </c>
      <c r="D18" s="8">
        <v>5.85</v>
      </c>
      <c r="E18" s="8">
        <f t="shared" si="0"/>
        <v>2106</v>
      </c>
      <c r="K18">
        <v>0</v>
      </c>
    </row>
    <row r="19" spans="1:11">
      <c r="A19" s="22">
        <v>45929</v>
      </c>
      <c r="B19" s="23" t="s">
        <v>370</v>
      </c>
      <c r="C19" s="23">
        <v>290</v>
      </c>
      <c r="D19" s="8">
        <v>5.85</v>
      </c>
      <c r="E19" s="8">
        <f t="shared" si="0"/>
        <v>1696</v>
      </c>
      <c r="K19">
        <v>0</v>
      </c>
    </row>
    <row r="20" spans="1:11">
      <c r="A20" s="22">
        <v>45932</v>
      </c>
      <c r="B20" s="23" t="s">
        <v>364</v>
      </c>
      <c r="C20" s="23">
        <v>370</v>
      </c>
      <c r="D20" s="8">
        <v>5.85</v>
      </c>
      <c r="E20" s="8">
        <f t="shared" si="0"/>
        <v>2164</v>
      </c>
      <c r="K20">
        <v>0</v>
      </c>
    </row>
    <row r="21" spans="1:11">
      <c r="A21" s="22">
        <v>45933</v>
      </c>
      <c r="B21" s="23" t="s">
        <v>371</v>
      </c>
      <c r="C21" s="23">
        <v>360</v>
      </c>
      <c r="D21" s="8">
        <v>5.85</v>
      </c>
      <c r="E21" s="8">
        <f t="shared" si="0"/>
        <v>2106</v>
      </c>
      <c r="K21">
        <v>0</v>
      </c>
    </row>
    <row r="22" spans="1:11">
      <c r="A22" s="22">
        <v>45933</v>
      </c>
      <c r="B22" s="23" t="s">
        <v>367</v>
      </c>
      <c r="C22" s="23">
        <v>350</v>
      </c>
      <c r="D22" s="8">
        <v>5.85</v>
      </c>
      <c r="E22" s="8">
        <f t="shared" si="0"/>
        <v>2047</v>
      </c>
      <c r="K22">
        <v>0</v>
      </c>
    </row>
    <row r="23" spans="1:11">
      <c r="A23" s="22">
        <v>45934</v>
      </c>
      <c r="B23" s="23" t="s">
        <v>368</v>
      </c>
      <c r="C23" s="23">
        <v>380</v>
      </c>
      <c r="D23" s="8">
        <v>5.85</v>
      </c>
      <c r="E23" s="8">
        <f t="shared" si="0"/>
        <v>2223</v>
      </c>
      <c r="K23">
        <v>0</v>
      </c>
    </row>
    <row r="24" spans="1:11">
      <c r="A24" s="22">
        <v>45934</v>
      </c>
      <c r="B24" s="23" t="s">
        <v>366</v>
      </c>
      <c r="C24" s="23">
        <v>340</v>
      </c>
      <c r="D24" s="8">
        <v>5.85</v>
      </c>
      <c r="E24" s="8">
        <f t="shared" si="0"/>
        <v>1989</v>
      </c>
      <c r="K24">
        <v>0</v>
      </c>
    </row>
    <row r="25" spans="4:11">
      <c r="D25" s="8"/>
      <c r="E25" s="8"/>
      <c r="F25">
        <f>SUM(E20:E24)</f>
        <v>10529</v>
      </c>
      <c r="K25">
        <v>0</v>
      </c>
    </row>
    <row r="26" spans="1:11">
      <c r="A26" s="22">
        <v>45937</v>
      </c>
      <c r="B26" s="23" t="s">
        <v>372</v>
      </c>
      <c r="C26" s="23">
        <v>400</v>
      </c>
      <c r="D26" s="8">
        <v>5.85</v>
      </c>
      <c r="E26" s="8">
        <f t="shared" ref="E25:E38" si="1">INT(C26*D26)</f>
        <v>2340</v>
      </c>
      <c r="K26">
        <v>0</v>
      </c>
    </row>
    <row r="27" spans="1:11">
      <c r="A27" s="22">
        <v>45937</v>
      </c>
      <c r="B27" s="23" t="s">
        <v>365</v>
      </c>
      <c r="C27" s="23">
        <v>350</v>
      </c>
      <c r="D27" s="8">
        <v>5.85</v>
      </c>
      <c r="E27" s="8">
        <f t="shared" si="1"/>
        <v>2047</v>
      </c>
      <c r="K27">
        <v>0</v>
      </c>
    </row>
    <row r="28" spans="1:11">
      <c r="A28" s="22">
        <v>45937</v>
      </c>
      <c r="B28" s="23" t="s">
        <v>370</v>
      </c>
      <c r="C28" s="23">
        <v>400</v>
      </c>
      <c r="D28" s="8">
        <v>5.85</v>
      </c>
      <c r="E28" s="8">
        <f t="shared" si="1"/>
        <v>2340</v>
      </c>
      <c r="K28">
        <v>0</v>
      </c>
    </row>
    <row r="29" spans="1:11">
      <c r="A29" s="22">
        <v>45937</v>
      </c>
      <c r="B29" s="23" t="s">
        <v>369</v>
      </c>
      <c r="C29" s="23">
        <v>380</v>
      </c>
      <c r="D29" s="8">
        <v>5.85</v>
      </c>
      <c r="E29" s="8">
        <f t="shared" si="1"/>
        <v>2223</v>
      </c>
      <c r="K29">
        <v>0</v>
      </c>
    </row>
    <row r="30" spans="1:11">
      <c r="A30" s="22">
        <v>45938</v>
      </c>
      <c r="B30" s="23" t="s">
        <v>368</v>
      </c>
      <c r="C30" s="23">
        <v>380</v>
      </c>
      <c r="D30" s="8">
        <v>5.85</v>
      </c>
      <c r="E30" s="8">
        <f t="shared" si="1"/>
        <v>2223</v>
      </c>
      <c r="K30">
        <v>0</v>
      </c>
    </row>
    <row r="31" spans="1:11">
      <c r="A31" s="22">
        <v>45938</v>
      </c>
      <c r="B31" s="23" t="s">
        <v>366</v>
      </c>
      <c r="C31" s="23">
        <v>350</v>
      </c>
      <c r="D31" s="8">
        <v>5.85</v>
      </c>
      <c r="E31" s="8">
        <f t="shared" si="1"/>
        <v>2047</v>
      </c>
      <c r="K31">
        <v>0</v>
      </c>
    </row>
    <row r="32" spans="1:11">
      <c r="A32" s="22">
        <v>45938</v>
      </c>
      <c r="B32" s="23" t="s">
        <v>367</v>
      </c>
      <c r="C32" s="23">
        <v>350</v>
      </c>
      <c r="D32" s="8">
        <v>5.85</v>
      </c>
      <c r="E32" s="8">
        <f t="shared" si="1"/>
        <v>2047</v>
      </c>
      <c r="K32">
        <v>0</v>
      </c>
    </row>
    <row r="33" spans="1:11">
      <c r="A33" s="22">
        <v>45938</v>
      </c>
      <c r="B33" s="23" t="s">
        <v>364</v>
      </c>
      <c r="C33" s="23">
        <v>360</v>
      </c>
      <c r="D33" s="8">
        <v>5.85</v>
      </c>
      <c r="E33" s="8">
        <f t="shared" si="1"/>
        <v>2106</v>
      </c>
      <c r="K33">
        <v>0</v>
      </c>
    </row>
    <row r="34" spans="1:11">
      <c r="A34" s="22">
        <v>45939</v>
      </c>
      <c r="B34" s="23" t="s">
        <v>371</v>
      </c>
      <c r="C34" s="23">
        <v>360</v>
      </c>
      <c r="D34" s="8">
        <v>5.85</v>
      </c>
      <c r="E34" s="8">
        <f t="shared" si="1"/>
        <v>2106</v>
      </c>
      <c r="K34">
        <v>0</v>
      </c>
    </row>
    <row r="35" spans="1:11">
      <c r="A35" s="22">
        <v>45939</v>
      </c>
      <c r="B35" s="23" t="s">
        <v>370</v>
      </c>
      <c r="C35" s="23">
        <v>340</v>
      </c>
      <c r="D35" s="8">
        <v>5.85</v>
      </c>
      <c r="E35" s="8">
        <f t="shared" si="1"/>
        <v>1989</v>
      </c>
      <c r="K35">
        <v>0</v>
      </c>
    </row>
    <row r="36" spans="1:11">
      <c r="A36" s="22">
        <v>45939</v>
      </c>
      <c r="B36" s="23" t="s">
        <v>365</v>
      </c>
      <c r="C36" s="23">
        <v>350</v>
      </c>
      <c r="D36" s="8">
        <v>5.85</v>
      </c>
      <c r="E36" s="8">
        <f t="shared" si="1"/>
        <v>2047</v>
      </c>
      <c r="K36">
        <v>0</v>
      </c>
    </row>
    <row r="37" spans="1:11">
      <c r="A37" s="22">
        <v>45940</v>
      </c>
      <c r="B37" s="23" t="s">
        <v>372</v>
      </c>
      <c r="C37" s="23">
        <v>375</v>
      </c>
      <c r="D37" s="8">
        <v>5.85</v>
      </c>
      <c r="E37" s="8">
        <f t="shared" si="1"/>
        <v>2193</v>
      </c>
      <c r="K37">
        <v>0</v>
      </c>
    </row>
    <row r="38" spans="1:11">
      <c r="A38" s="22">
        <v>45940</v>
      </c>
      <c r="B38" s="23" t="s">
        <v>369</v>
      </c>
      <c r="C38" s="23">
        <v>360</v>
      </c>
      <c r="D38" s="8">
        <v>5.85</v>
      </c>
      <c r="E38" s="8">
        <f t="shared" si="1"/>
        <v>2106</v>
      </c>
      <c r="K38">
        <v>0</v>
      </c>
    </row>
    <row r="39" spans="5:11">
      <c r="E39" s="8">
        <f t="shared" ref="E39:E47" si="2">INT(C39*D39)</f>
        <v>0</v>
      </c>
      <c r="F39">
        <f>SUM(E26:E38)</f>
        <v>27814</v>
      </c>
      <c r="K39">
        <v>0</v>
      </c>
    </row>
    <row r="40" spans="1:11">
      <c r="A40" s="22">
        <v>45941</v>
      </c>
      <c r="B40" s="23" t="s">
        <v>359</v>
      </c>
      <c r="C40" s="23">
        <v>360</v>
      </c>
      <c r="D40" s="8">
        <v>5.75</v>
      </c>
      <c r="E40" s="8">
        <f t="shared" si="2"/>
        <v>2070</v>
      </c>
      <c r="K40">
        <v>0</v>
      </c>
    </row>
    <row r="41" spans="1:11">
      <c r="A41" s="22">
        <v>45941</v>
      </c>
      <c r="B41" s="23" t="s">
        <v>357</v>
      </c>
      <c r="C41" s="23">
        <v>360</v>
      </c>
      <c r="D41" s="8">
        <v>5.75</v>
      </c>
      <c r="E41" s="8">
        <f t="shared" si="2"/>
        <v>2070</v>
      </c>
      <c r="K41">
        <v>0</v>
      </c>
    </row>
    <row r="42" spans="1:11">
      <c r="A42" s="22">
        <v>45942</v>
      </c>
      <c r="B42" s="23" t="s">
        <v>358</v>
      </c>
      <c r="C42" s="23">
        <v>350</v>
      </c>
      <c r="D42" s="8">
        <v>5.75</v>
      </c>
      <c r="E42" s="8">
        <f t="shared" si="2"/>
        <v>2012</v>
      </c>
      <c r="K42">
        <v>0</v>
      </c>
    </row>
    <row r="43" spans="1:11">
      <c r="A43" s="22">
        <v>45942</v>
      </c>
      <c r="B43" s="23" t="s">
        <v>360</v>
      </c>
      <c r="C43" s="23">
        <v>360</v>
      </c>
      <c r="D43" s="8">
        <v>5.75</v>
      </c>
      <c r="E43" s="8">
        <f t="shared" si="2"/>
        <v>2070</v>
      </c>
      <c r="K43">
        <v>0</v>
      </c>
    </row>
    <row r="44" spans="1:11">
      <c r="A44" s="22">
        <v>45942</v>
      </c>
      <c r="B44" s="23" t="s">
        <v>356</v>
      </c>
      <c r="C44" s="23">
        <v>350</v>
      </c>
      <c r="D44" s="8">
        <v>5.75</v>
      </c>
      <c r="E44" s="8">
        <f t="shared" si="2"/>
        <v>2012</v>
      </c>
      <c r="K44">
        <v>0</v>
      </c>
    </row>
    <row r="45" spans="1:11">
      <c r="A45" s="22">
        <v>45943</v>
      </c>
      <c r="B45" s="23" t="s">
        <v>363</v>
      </c>
      <c r="C45" s="23">
        <v>375</v>
      </c>
      <c r="D45" s="8">
        <v>5.75</v>
      </c>
      <c r="E45" s="8">
        <f t="shared" si="2"/>
        <v>2156</v>
      </c>
      <c r="K45">
        <v>0</v>
      </c>
    </row>
    <row r="46" spans="1:11">
      <c r="A46" s="22">
        <v>45943</v>
      </c>
      <c r="B46" s="23" t="s">
        <v>361</v>
      </c>
      <c r="C46" s="23">
        <v>350</v>
      </c>
      <c r="D46" s="8">
        <v>5.75</v>
      </c>
      <c r="E46" s="8">
        <f t="shared" si="2"/>
        <v>2012</v>
      </c>
      <c r="K46">
        <v>0</v>
      </c>
    </row>
    <row r="47" spans="1:11">
      <c r="A47" s="22">
        <v>45943</v>
      </c>
      <c r="B47" s="23" t="s">
        <v>355</v>
      </c>
      <c r="C47" s="23">
        <v>360</v>
      </c>
      <c r="D47" s="8">
        <v>5.75</v>
      </c>
      <c r="E47" s="8">
        <f t="shared" si="2"/>
        <v>2070</v>
      </c>
      <c r="K47">
        <v>0</v>
      </c>
    </row>
    <row r="48" spans="5:11">
      <c r="E48">
        <f>SUM(E40:E47)</f>
        <v>16472</v>
      </c>
      <c r="K48">
        <v>0</v>
      </c>
    </row>
    <row r="49" spans="11:11">
      <c r="K49">
        <v>0</v>
      </c>
    </row>
    <row r="50" spans="11:11">
      <c r="K50">
        <v>0</v>
      </c>
    </row>
    <row r="51" spans="11:11">
      <c r="K51">
        <v>0</v>
      </c>
    </row>
    <row r="52" spans="11:11">
      <c r="K52">
        <v>0</v>
      </c>
    </row>
    <row r="53" spans="11:11">
      <c r="K53">
        <v>0</v>
      </c>
    </row>
    <row r="54" spans="11:11">
      <c r="K54">
        <v>0</v>
      </c>
    </row>
    <row r="55" spans="11:11">
      <c r="K55">
        <v>0</v>
      </c>
    </row>
    <row r="56" spans="11:11">
      <c r="K56">
        <v>0</v>
      </c>
    </row>
  </sheetData>
  <conditionalFormatting sqref="B6:F6">
    <cfRule type="duplicateValues" dxfId="1" priority="1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M56"/>
  <sheetViews>
    <sheetView workbookViewId="0">
      <selection activeCell="E23" sqref="A19:E23"/>
    </sheetView>
  </sheetViews>
  <sheetFormatPr defaultColWidth="9" defaultRowHeight="14.25"/>
  <cols>
    <col min="1" max="1" width="10.5333333333333" customWidth="1"/>
  </cols>
  <sheetData>
    <row r="1" ht="22.5" spans="1:13">
      <c r="A1" s="82" t="s">
        <v>0</v>
      </c>
      <c r="B1" s="71" t="s">
        <v>373</v>
      </c>
      <c r="C1" s="83"/>
      <c r="D1" s="73"/>
      <c r="E1" s="84">
        <v>5.85</v>
      </c>
      <c r="F1" s="74"/>
      <c r="G1" s="46"/>
      <c r="H1" s="46"/>
      <c r="L1" t="str" cm="1">
        <f t="array" ref="L1:L56">_xlfn.TOCOL(A2:G9)</f>
        <v>粤V03880</v>
      </c>
      <c r="M1" t="s">
        <v>374</v>
      </c>
    </row>
    <row r="2" spans="1:13">
      <c r="A2" s="45" t="s">
        <v>374</v>
      </c>
      <c r="B2" s="45" t="s">
        <v>375</v>
      </c>
      <c r="C2" s="45" t="s">
        <v>376</v>
      </c>
      <c r="D2" s="45" t="s">
        <v>377</v>
      </c>
      <c r="E2" s="13"/>
      <c r="F2" s="13"/>
      <c r="G2" s="13"/>
      <c r="H2" s="46"/>
      <c r="L2" t="str">
        <v>皖SF3518</v>
      </c>
      <c r="M2" t="s">
        <v>375</v>
      </c>
    </row>
    <row r="3" spans="1:13">
      <c r="A3" s="14"/>
      <c r="B3" s="8"/>
      <c r="C3" s="8"/>
      <c r="D3" s="8"/>
      <c r="E3" s="8"/>
      <c r="F3" s="45"/>
      <c r="G3" s="13"/>
      <c r="H3" s="46"/>
      <c r="L3" t="str">
        <v>粤VN3300</v>
      </c>
      <c r="M3" t="s">
        <v>376</v>
      </c>
    </row>
    <row r="4" spans="1:13">
      <c r="A4" s="14"/>
      <c r="B4" s="45"/>
      <c r="C4" s="45"/>
      <c r="D4" s="45"/>
      <c r="E4" s="45"/>
      <c r="F4" s="45"/>
      <c r="G4" s="13"/>
      <c r="H4" s="46"/>
      <c r="L4" t="str">
        <v>赣C2359D</v>
      </c>
      <c r="M4" t="s">
        <v>377</v>
      </c>
    </row>
    <row r="5" spans="1:12">
      <c r="A5" s="14"/>
      <c r="B5" s="45"/>
      <c r="C5" s="45"/>
      <c r="D5" s="45"/>
      <c r="E5" s="45"/>
      <c r="F5" s="45"/>
      <c r="G5" s="13"/>
      <c r="H5" s="46"/>
      <c r="L5">
        <v>0</v>
      </c>
    </row>
    <row r="6" spans="1:12">
      <c r="A6" s="14"/>
      <c r="B6" s="45"/>
      <c r="C6" s="45"/>
      <c r="D6" s="47"/>
      <c r="E6" s="45"/>
      <c r="F6" s="47"/>
      <c r="G6" s="13"/>
      <c r="H6" s="46"/>
      <c r="L6">
        <v>0</v>
      </c>
    </row>
    <row r="7" spans="1:12">
      <c r="A7" s="14"/>
      <c r="B7" s="45"/>
      <c r="C7" s="45"/>
      <c r="D7" s="45"/>
      <c r="E7" s="45"/>
      <c r="F7" s="45"/>
      <c r="G7" s="13"/>
      <c r="H7" s="46"/>
      <c r="L7">
        <v>0</v>
      </c>
    </row>
    <row r="8" spans="1:12">
      <c r="A8" s="14"/>
      <c r="B8" s="47"/>
      <c r="C8" s="45"/>
      <c r="D8" s="47"/>
      <c r="E8" s="45"/>
      <c r="F8" s="45"/>
      <c r="G8" s="13"/>
      <c r="H8" s="46"/>
      <c r="L8">
        <v>0</v>
      </c>
    </row>
    <row r="9" spans="1:12">
      <c r="A9" s="14"/>
      <c r="B9" s="45"/>
      <c r="C9" s="45"/>
      <c r="D9" s="45"/>
      <c r="E9" s="34"/>
      <c r="F9" s="34"/>
      <c r="G9" s="13"/>
      <c r="H9" s="46"/>
      <c r="L9">
        <v>0</v>
      </c>
    </row>
    <row r="10" spans="1:12">
      <c r="A10" s="48"/>
      <c r="B10" s="46"/>
      <c r="C10" s="46"/>
      <c r="D10" s="46"/>
      <c r="E10" s="46"/>
      <c r="F10" s="46"/>
      <c r="G10" s="46"/>
      <c r="H10" s="46"/>
      <c r="L10">
        <v>0</v>
      </c>
    </row>
    <row r="11" spans="1:12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22">
        <v>45928</v>
      </c>
      <c r="B12" s="23" t="s">
        <v>378</v>
      </c>
      <c r="C12" s="23">
        <v>360</v>
      </c>
      <c r="D12" s="8">
        <v>5.85</v>
      </c>
      <c r="E12" s="8">
        <f>C12*D12</f>
        <v>2106</v>
      </c>
      <c r="L12">
        <v>0</v>
      </c>
    </row>
    <row r="13" spans="1:12">
      <c r="A13" s="22"/>
      <c r="B13" s="23"/>
      <c r="C13" s="23"/>
      <c r="D13" s="8"/>
      <c r="E13" s="8"/>
      <c r="L13">
        <v>0</v>
      </c>
    </row>
    <row r="14" spans="1:12">
      <c r="A14" s="22">
        <v>45937</v>
      </c>
      <c r="B14" s="23" t="s">
        <v>378</v>
      </c>
      <c r="C14" s="23">
        <v>360</v>
      </c>
      <c r="D14" s="8">
        <v>5.85</v>
      </c>
      <c r="E14" s="8">
        <f t="shared" ref="E14:E22" si="0">C14*D14</f>
        <v>2106</v>
      </c>
      <c r="L14">
        <v>0</v>
      </c>
    </row>
    <row r="15" spans="1:12">
      <c r="A15" s="22">
        <v>45938</v>
      </c>
      <c r="B15" s="23" t="s">
        <v>379</v>
      </c>
      <c r="C15" s="23">
        <v>380</v>
      </c>
      <c r="D15" s="8">
        <v>5.85</v>
      </c>
      <c r="E15" s="8">
        <f t="shared" si="0"/>
        <v>2223</v>
      </c>
      <c r="L15">
        <v>0</v>
      </c>
    </row>
    <row r="16" spans="1:12">
      <c r="A16" s="22">
        <v>45939</v>
      </c>
      <c r="B16" s="23" t="s">
        <v>378</v>
      </c>
      <c r="C16" s="23">
        <v>380</v>
      </c>
      <c r="D16" s="8">
        <v>5.85</v>
      </c>
      <c r="E16" s="8">
        <f t="shared" si="0"/>
        <v>2223</v>
      </c>
      <c r="L16">
        <v>0</v>
      </c>
    </row>
    <row r="17" spans="1:12">
      <c r="A17" s="22">
        <v>45939</v>
      </c>
      <c r="B17" s="23" t="s">
        <v>380</v>
      </c>
      <c r="C17" s="23">
        <v>390</v>
      </c>
      <c r="D17" s="8">
        <v>5.85</v>
      </c>
      <c r="E17" s="8">
        <f t="shared" si="0"/>
        <v>2281.5</v>
      </c>
      <c r="L17">
        <v>0</v>
      </c>
    </row>
    <row r="18" spans="4:12">
      <c r="D18" s="8"/>
      <c r="E18" s="8">
        <f t="shared" si="0"/>
        <v>0</v>
      </c>
      <c r="F18">
        <f>SUM(E14:E17)</f>
        <v>8833.5</v>
      </c>
      <c r="L18">
        <v>0</v>
      </c>
    </row>
    <row r="19" spans="1:12">
      <c r="A19" s="22">
        <v>45941</v>
      </c>
      <c r="B19" s="23" t="s">
        <v>376</v>
      </c>
      <c r="C19" s="85">
        <v>380</v>
      </c>
      <c r="D19" s="8">
        <v>5.75</v>
      </c>
      <c r="E19" s="8">
        <f t="shared" si="0"/>
        <v>2185</v>
      </c>
      <c r="L19">
        <v>0</v>
      </c>
    </row>
    <row r="20" spans="1:12">
      <c r="A20" s="22">
        <v>45942</v>
      </c>
      <c r="B20" s="23" t="s">
        <v>377</v>
      </c>
      <c r="C20" s="85">
        <v>380</v>
      </c>
      <c r="D20" s="8">
        <v>5.75</v>
      </c>
      <c r="E20" s="8">
        <f t="shared" si="0"/>
        <v>2185</v>
      </c>
      <c r="L20">
        <v>0</v>
      </c>
    </row>
    <row r="21" spans="1:12">
      <c r="A21" s="22">
        <v>45943</v>
      </c>
      <c r="B21" s="23" t="s">
        <v>376</v>
      </c>
      <c r="C21" s="85">
        <v>380</v>
      </c>
      <c r="D21" s="8">
        <v>5.75</v>
      </c>
      <c r="E21" s="8">
        <f t="shared" si="0"/>
        <v>2185</v>
      </c>
      <c r="L21">
        <v>0</v>
      </c>
    </row>
    <row r="22" spans="1:12">
      <c r="A22" s="22">
        <v>45943</v>
      </c>
      <c r="B22" s="23" t="s">
        <v>374</v>
      </c>
      <c r="C22" s="85">
        <v>330</v>
      </c>
      <c r="D22" s="8">
        <v>5.75</v>
      </c>
      <c r="E22" s="8">
        <f t="shared" si="0"/>
        <v>1897.5</v>
      </c>
      <c r="L22">
        <v>0</v>
      </c>
    </row>
    <row r="23" spans="5:12">
      <c r="E23">
        <f>SUM(E19:E22)</f>
        <v>8452.5</v>
      </c>
      <c r="L23">
        <v>0</v>
      </c>
    </row>
    <row r="24" spans="12:12">
      <c r="L24">
        <v>0</v>
      </c>
    </row>
    <row r="25" spans="12:12">
      <c r="L25">
        <v>0</v>
      </c>
    </row>
    <row r="26" spans="12:12">
      <c r="L26">
        <v>0</v>
      </c>
    </row>
    <row r="27" spans="12:12">
      <c r="L27">
        <v>0</v>
      </c>
    </row>
    <row r="28" spans="12:12">
      <c r="L28">
        <v>0</v>
      </c>
    </row>
    <row r="29" spans="12:12">
      <c r="L29">
        <v>0</v>
      </c>
    </row>
    <row r="30" spans="12:12"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M64"/>
  <sheetViews>
    <sheetView topLeftCell="A36" workbookViewId="0">
      <selection activeCell="A62" sqref="A62:E64"/>
    </sheetView>
  </sheetViews>
  <sheetFormatPr defaultColWidth="9" defaultRowHeight="14.25"/>
  <cols>
    <col min="1" max="1" width="10.8666666666667" customWidth="1"/>
  </cols>
  <sheetData>
    <row r="1" ht="22.5" spans="1:13">
      <c r="A1" s="38" t="s">
        <v>0</v>
      </c>
      <c r="B1" s="39" t="s">
        <v>381</v>
      </c>
      <c r="C1" s="53"/>
      <c r="D1" s="5"/>
      <c r="E1" s="26" t="s">
        <v>2</v>
      </c>
      <c r="F1" s="42"/>
      <c r="G1" s="61"/>
      <c r="H1" s="44"/>
      <c r="L1" t="str" cm="1">
        <f t="array" ref="L1:L56">_xlfn.TOCOL(A2:G9)</f>
        <v>粤DF719J</v>
      </c>
      <c r="M1" t="s">
        <v>382</v>
      </c>
    </row>
    <row r="2" spans="1:13">
      <c r="A2" s="45" t="s">
        <v>382</v>
      </c>
      <c r="B2" s="56" t="s">
        <v>383</v>
      </c>
      <c r="C2" s="34" t="s">
        <v>384</v>
      </c>
      <c r="D2" s="34" t="s">
        <v>385</v>
      </c>
      <c r="E2" s="34" t="s">
        <v>386</v>
      </c>
      <c r="F2" s="45" t="s">
        <v>387</v>
      </c>
      <c r="G2" s="56" t="s">
        <v>388</v>
      </c>
      <c r="H2" s="46"/>
      <c r="L2" t="str">
        <v>粤V979F8</v>
      </c>
      <c r="M2" t="s">
        <v>383</v>
      </c>
    </row>
    <row r="3" spans="1:13">
      <c r="A3" s="34" t="s">
        <v>389</v>
      </c>
      <c r="B3" s="56" t="s">
        <v>390</v>
      </c>
      <c r="C3" s="45" t="s">
        <v>391</v>
      </c>
      <c r="D3" s="45" t="s">
        <v>392</v>
      </c>
      <c r="E3" s="45" t="s">
        <v>393</v>
      </c>
      <c r="F3" s="45" t="s">
        <v>394</v>
      </c>
      <c r="G3" s="45" t="s">
        <v>395</v>
      </c>
      <c r="H3" s="46"/>
      <c r="L3" t="str">
        <v>粤VJF787</v>
      </c>
      <c r="M3" t="s">
        <v>384</v>
      </c>
    </row>
    <row r="4" spans="1:13">
      <c r="A4" s="45" t="s">
        <v>396</v>
      </c>
      <c r="B4" s="56" t="s">
        <v>397</v>
      </c>
      <c r="C4" s="45" t="s">
        <v>398</v>
      </c>
      <c r="D4" s="8"/>
      <c r="E4" s="8"/>
      <c r="F4" s="8"/>
      <c r="G4" s="13"/>
      <c r="H4" s="46"/>
      <c r="L4" t="str">
        <v>粤V257R6</v>
      </c>
      <c r="M4" t="s">
        <v>385</v>
      </c>
    </row>
    <row r="5" spans="1:13">
      <c r="A5" s="8"/>
      <c r="B5" s="8"/>
      <c r="C5" s="45"/>
      <c r="D5" s="45"/>
      <c r="E5" s="8"/>
      <c r="F5" s="8"/>
      <c r="G5" s="13"/>
      <c r="H5" s="46"/>
      <c r="L5" t="str">
        <v>粤VQ8539</v>
      </c>
      <c r="M5" t="s">
        <v>386</v>
      </c>
    </row>
    <row r="6" spans="1:13">
      <c r="A6" s="14"/>
      <c r="B6" s="8"/>
      <c r="C6" s="8"/>
      <c r="D6" s="8"/>
      <c r="E6" s="8"/>
      <c r="F6" s="8"/>
      <c r="G6" s="13"/>
      <c r="H6" s="46"/>
      <c r="L6" t="str">
        <v>粤DB670B</v>
      </c>
      <c r="M6" t="s">
        <v>387</v>
      </c>
    </row>
    <row r="7" spans="1:13">
      <c r="A7" s="14"/>
      <c r="B7" s="8"/>
      <c r="C7" s="56"/>
      <c r="D7" s="34"/>
      <c r="E7" s="45"/>
      <c r="F7" s="8"/>
      <c r="G7" s="13"/>
      <c r="H7" s="46"/>
      <c r="L7" t="str">
        <v>粤D911Q3</v>
      </c>
      <c r="M7" t="s">
        <v>388</v>
      </c>
    </row>
    <row r="8" spans="1:13">
      <c r="A8" s="14"/>
      <c r="B8" s="45"/>
      <c r="C8" s="56"/>
      <c r="D8" s="45"/>
      <c r="E8" s="45"/>
      <c r="F8" s="45"/>
      <c r="G8" s="13"/>
      <c r="H8" s="46"/>
      <c r="L8" t="str">
        <v>粤DD102W</v>
      </c>
      <c r="M8" t="s">
        <v>389</v>
      </c>
    </row>
    <row r="9" spans="1:13">
      <c r="A9" s="14"/>
      <c r="B9" s="45"/>
      <c r="C9" s="56"/>
      <c r="D9" s="45"/>
      <c r="E9" s="34"/>
      <c r="F9" s="34"/>
      <c r="G9" s="13"/>
      <c r="H9" s="46"/>
      <c r="L9" t="str">
        <v>粤DD623R</v>
      </c>
      <c r="M9" t="s">
        <v>390</v>
      </c>
    </row>
    <row r="10" spans="1:13">
      <c r="A10" s="48"/>
      <c r="B10" s="46"/>
      <c r="C10" s="81"/>
      <c r="D10" s="46"/>
      <c r="E10" s="46"/>
      <c r="F10" s="46"/>
      <c r="G10" s="46"/>
      <c r="H10" s="46"/>
      <c r="L10" t="str">
        <v>粤D598U1</v>
      </c>
      <c r="M10" t="s">
        <v>391</v>
      </c>
    </row>
    <row r="11" spans="1:13">
      <c r="A11" s="48"/>
      <c r="B11" s="46"/>
      <c r="C11" s="81"/>
      <c r="D11" s="46"/>
      <c r="E11" s="46"/>
      <c r="F11" s="46"/>
      <c r="G11" s="46"/>
      <c r="H11" s="46"/>
      <c r="L11" t="str">
        <v>粤D0982C</v>
      </c>
      <c r="M11" t="s">
        <v>392</v>
      </c>
    </row>
    <row r="12" spans="1:13">
      <c r="A12" s="48"/>
      <c r="B12" s="46"/>
      <c r="C12" s="81"/>
      <c r="D12" s="46"/>
      <c r="E12" s="46"/>
      <c r="F12" s="46"/>
      <c r="G12" s="46"/>
      <c r="H12" s="46"/>
      <c r="L12" t="str">
        <v>赣F8U275</v>
      </c>
      <c r="M12" t="s">
        <v>393</v>
      </c>
    </row>
    <row r="13" spans="1:13">
      <c r="A13" s="16" t="s">
        <v>35</v>
      </c>
      <c r="B13" s="17" t="s">
        <v>36</v>
      </c>
      <c r="C13" s="18" t="s">
        <v>37</v>
      </c>
      <c r="D13" s="17" t="s">
        <v>38</v>
      </c>
      <c r="E13" s="17" t="s">
        <v>39</v>
      </c>
      <c r="F13" s="17" t="s">
        <v>40</v>
      </c>
      <c r="G13" s="17" t="s">
        <v>40</v>
      </c>
      <c r="H13" s="17" t="s">
        <v>40</v>
      </c>
      <c r="L13" t="str">
        <v>粤VC6932</v>
      </c>
      <c r="M13" t="s">
        <v>394</v>
      </c>
    </row>
    <row r="14" spans="1:13">
      <c r="A14" s="22">
        <v>45924</v>
      </c>
      <c r="B14" s="23" t="s">
        <v>399</v>
      </c>
      <c r="C14" s="23">
        <v>59.18</v>
      </c>
      <c r="D14" s="19" t="str">
        <f>IF(C14&gt;=200,"5.75",IF(C14&lt;200,"5.95"))</f>
        <v>5.95</v>
      </c>
      <c r="E14" s="8">
        <f>INT(C14*D14)</f>
        <v>352</v>
      </c>
      <c r="L14" t="str">
        <v>粤D6U358</v>
      </c>
      <c r="M14" t="s">
        <v>395</v>
      </c>
    </row>
    <row r="15" spans="1:13">
      <c r="A15" s="22">
        <v>45924</v>
      </c>
      <c r="B15" s="23" t="s">
        <v>400</v>
      </c>
      <c r="C15" s="23">
        <v>100</v>
      </c>
      <c r="D15" s="19" t="str">
        <f>IF(C15&gt;=200,"5.75",IF(C15&lt;200,"5.95"))</f>
        <v>5.95</v>
      </c>
      <c r="E15" s="8">
        <f t="shared" ref="E15:E24" si="0">INT(C15*D15)</f>
        <v>595</v>
      </c>
      <c r="L15" t="str">
        <v>粤D18393</v>
      </c>
      <c r="M15" t="s">
        <v>396</v>
      </c>
    </row>
    <row r="16" spans="1:13">
      <c r="A16" s="22">
        <v>45924</v>
      </c>
      <c r="B16" s="23" t="s">
        <v>401</v>
      </c>
      <c r="C16" s="23">
        <v>62.9</v>
      </c>
      <c r="D16" s="19" t="str">
        <f t="shared" ref="D16:D24" si="1">IF(C16&gt;=200,"5.75",IF(C16&lt;200,"5.95"))</f>
        <v>5.95</v>
      </c>
      <c r="E16" s="8">
        <f t="shared" si="0"/>
        <v>374</v>
      </c>
      <c r="L16" t="str">
        <v>粤VBW931</v>
      </c>
      <c r="M16" t="s">
        <v>397</v>
      </c>
    </row>
    <row r="17" spans="1:13">
      <c r="A17" s="22">
        <v>45924</v>
      </c>
      <c r="B17" s="23" t="s">
        <v>402</v>
      </c>
      <c r="C17" s="23">
        <v>50.76</v>
      </c>
      <c r="D17" s="19" t="str">
        <f t="shared" si="1"/>
        <v>5.95</v>
      </c>
      <c r="E17" s="8">
        <f t="shared" si="0"/>
        <v>302</v>
      </c>
      <c r="L17" t="str">
        <v>粤VDR830</v>
      </c>
      <c r="M17" t="s">
        <v>398</v>
      </c>
    </row>
    <row r="18" spans="1:12">
      <c r="A18" s="22">
        <v>45925</v>
      </c>
      <c r="B18" s="23" t="s">
        <v>403</v>
      </c>
      <c r="C18" s="23">
        <v>56.36</v>
      </c>
      <c r="D18" s="19" t="str">
        <f t="shared" si="1"/>
        <v>5.95</v>
      </c>
      <c r="E18" s="8">
        <f t="shared" si="0"/>
        <v>335</v>
      </c>
      <c r="L18">
        <v>0</v>
      </c>
    </row>
    <row r="19" spans="1:12">
      <c r="A19" s="22">
        <v>45925</v>
      </c>
      <c r="B19" s="23" t="s">
        <v>404</v>
      </c>
      <c r="C19" s="23">
        <v>99.38</v>
      </c>
      <c r="D19" s="19" t="str">
        <f t="shared" si="1"/>
        <v>5.95</v>
      </c>
      <c r="E19" s="8">
        <f t="shared" si="0"/>
        <v>591</v>
      </c>
      <c r="L19">
        <v>0</v>
      </c>
    </row>
    <row r="20" spans="1:12">
      <c r="A20" s="22">
        <v>45925</v>
      </c>
      <c r="B20" s="23" t="s">
        <v>405</v>
      </c>
      <c r="C20" s="23">
        <v>53.45</v>
      </c>
      <c r="D20" s="19" t="str">
        <f t="shared" si="1"/>
        <v>5.95</v>
      </c>
      <c r="E20" s="8">
        <f t="shared" si="0"/>
        <v>318</v>
      </c>
      <c r="L20">
        <v>0</v>
      </c>
    </row>
    <row r="21" spans="1:12">
      <c r="A21" s="22">
        <v>45925</v>
      </c>
      <c r="B21" s="23" t="s">
        <v>406</v>
      </c>
      <c r="C21" s="23">
        <v>85</v>
      </c>
      <c r="D21" s="19" t="str">
        <f t="shared" si="1"/>
        <v>5.95</v>
      </c>
      <c r="E21" s="8">
        <f t="shared" si="0"/>
        <v>505</v>
      </c>
      <c r="L21">
        <v>0</v>
      </c>
    </row>
    <row r="22" spans="1:12">
      <c r="A22" s="22">
        <v>45925</v>
      </c>
      <c r="B22" s="23" t="s">
        <v>407</v>
      </c>
      <c r="C22" s="23">
        <v>78.62</v>
      </c>
      <c r="D22" s="19" t="str">
        <f t="shared" si="1"/>
        <v>5.95</v>
      </c>
      <c r="E22" s="8">
        <f t="shared" si="0"/>
        <v>467</v>
      </c>
      <c r="L22">
        <v>0</v>
      </c>
    </row>
    <row r="23" spans="1:12">
      <c r="A23" s="22">
        <v>45925</v>
      </c>
      <c r="B23" s="23" t="s">
        <v>408</v>
      </c>
      <c r="C23" s="23">
        <v>95.71</v>
      </c>
      <c r="D23" s="19" t="str">
        <f t="shared" si="1"/>
        <v>5.95</v>
      </c>
      <c r="E23" s="8">
        <f t="shared" si="0"/>
        <v>569</v>
      </c>
      <c r="L23">
        <v>0</v>
      </c>
    </row>
    <row r="24" spans="1:12">
      <c r="A24" s="22">
        <v>45925</v>
      </c>
      <c r="B24" s="23" t="s">
        <v>409</v>
      </c>
      <c r="C24" s="23">
        <v>84.85</v>
      </c>
      <c r="D24" s="19" t="str">
        <f t="shared" si="1"/>
        <v>5.95</v>
      </c>
      <c r="E24" s="8">
        <f t="shared" si="0"/>
        <v>504</v>
      </c>
      <c r="L24">
        <v>0</v>
      </c>
    </row>
    <row r="25" spans="1:12">
      <c r="A25" s="22">
        <v>45926</v>
      </c>
      <c r="B25" s="23" t="s">
        <v>402</v>
      </c>
      <c r="C25" s="23">
        <v>63.92</v>
      </c>
      <c r="D25" s="19" t="str">
        <f t="shared" ref="D25:D28" si="2">IF(C25&gt;=200,"5.75",IF(C25&lt;200,"5.95"))</f>
        <v>5.95</v>
      </c>
      <c r="E25" s="8">
        <f t="shared" ref="E25:E30" si="3">INT(C25*D25)</f>
        <v>380</v>
      </c>
      <c r="L25">
        <v>0</v>
      </c>
    </row>
    <row r="26" spans="1:12">
      <c r="A26" s="22">
        <v>45926</v>
      </c>
      <c r="B26" s="23" t="s">
        <v>410</v>
      </c>
      <c r="C26" s="23">
        <v>73.41</v>
      </c>
      <c r="D26" s="19" t="str">
        <f t="shared" si="2"/>
        <v>5.95</v>
      </c>
      <c r="E26" s="8">
        <f t="shared" si="3"/>
        <v>436</v>
      </c>
      <c r="L26">
        <v>0</v>
      </c>
    </row>
    <row r="27" spans="1:12">
      <c r="A27" s="22">
        <v>45927</v>
      </c>
      <c r="B27" s="23" t="s">
        <v>411</v>
      </c>
      <c r="C27" s="23">
        <v>82.57</v>
      </c>
      <c r="D27" s="19" t="str">
        <f t="shared" si="2"/>
        <v>5.95</v>
      </c>
      <c r="E27" s="8">
        <f t="shared" si="3"/>
        <v>491</v>
      </c>
      <c r="L27">
        <v>0</v>
      </c>
    </row>
    <row r="28" spans="1:12">
      <c r="A28" s="22">
        <v>45927</v>
      </c>
      <c r="B28" s="23" t="s">
        <v>401</v>
      </c>
      <c r="C28" s="23">
        <v>59.18</v>
      </c>
      <c r="D28" s="19" t="str">
        <f t="shared" si="2"/>
        <v>5.95</v>
      </c>
      <c r="E28" s="8">
        <f t="shared" si="3"/>
        <v>352</v>
      </c>
      <c r="L28">
        <v>0</v>
      </c>
    </row>
    <row r="29" spans="1:12">
      <c r="A29" s="22">
        <v>45928</v>
      </c>
      <c r="B29" s="23" t="s">
        <v>407</v>
      </c>
      <c r="C29" s="23">
        <v>73.97</v>
      </c>
      <c r="D29" s="19" t="str">
        <f>IF(C29&gt;=200,"5.85",IF(C29&lt;200,"5.95"))</f>
        <v>5.95</v>
      </c>
      <c r="E29" s="8">
        <f t="shared" si="3"/>
        <v>440</v>
      </c>
      <c r="L29">
        <v>0</v>
      </c>
    </row>
    <row r="30" spans="1:12">
      <c r="A30" s="22">
        <v>45928</v>
      </c>
      <c r="B30" s="23" t="s">
        <v>409</v>
      </c>
      <c r="C30" s="23">
        <v>59.32</v>
      </c>
      <c r="D30" s="19" t="str">
        <f>IF(C30&gt;=200,"5.85",IF(C30&lt;200,"5.95"))</f>
        <v>5.95</v>
      </c>
      <c r="E30" s="8">
        <f t="shared" si="3"/>
        <v>352</v>
      </c>
      <c r="L30">
        <v>0</v>
      </c>
    </row>
    <row r="31" spans="1:12">
      <c r="A31" s="22">
        <v>45929</v>
      </c>
      <c r="B31" s="23" t="s">
        <v>412</v>
      </c>
      <c r="C31" s="23">
        <v>78.92</v>
      </c>
      <c r="D31" s="19" t="str">
        <f t="shared" ref="D31:D44" si="4">IF(C31&gt;=200,"5.85",IF(C31&lt;200,"5.95"))</f>
        <v>5.95</v>
      </c>
      <c r="E31" s="8">
        <f t="shared" ref="E31:E44" si="5">INT(C31*D31)</f>
        <v>469</v>
      </c>
      <c r="L31">
        <v>0</v>
      </c>
    </row>
    <row r="32" spans="1:12">
      <c r="A32" s="22">
        <v>45929</v>
      </c>
      <c r="B32" s="23" t="s">
        <v>405</v>
      </c>
      <c r="C32" s="23">
        <v>47.81</v>
      </c>
      <c r="D32" s="19" t="str">
        <f t="shared" si="4"/>
        <v>5.95</v>
      </c>
      <c r="E32" s="8">
        <f t="shared" si="5"/>
        <v>284</v>
      </c>
      <c r="L32">
        <v>0</v>
      </c>
    </row>
    <row r="33" spans="1:12">
      <c r="A33" s="22">
        <v>45929</v>
      </c>
      <c r="B33" s="23" t="s">
        <v>402</v>
      </c>
      <c r="C33" s="23">
        <v>63.64</v>
      </c>
      <c r="D33" s="19" t="str">
        <f t="shared" si="4"/>
        <v>5.95</v>
      </c>
      <c r="E33" s="8">
        <f t="shared" si="5"/>
        <v>378</v>
      </c>
      <c r="L33">
        <v>0</v>
      </c>
    </row>
    <row r="34" spans="1:12">
      <c r="A34" s="22">
        <v>45929</v>
      </c>
      <c r="B34" s="23" t="s">
        <v>400</v>
      </c>
      <c r="C34" s="23">
        <v>100</v>
      </c>
      <c r="D34" s="19" t="str">
        <f t="shared" si="4"/>
        <v>5.95</v>
      </c>
      <c r="E34" s="8">
        <f t="shared" si="5"/>
        <v>595</v>
      </c>
      <c r="L34">
        <v>0</v>
      </c>
    </row>
    <row r="35" spans="1:12">
      <c r="A35" s="22">
        <v>45929</v>
      </c>
      <c r="B35" s="23" t="s">
        <v>406</v>
      </c>
      <c r="C35" s="23">
        <v>79.61</v>
      </c>
      <c r="D35" s="19" t="str">
        <f t="shared" si="4"/>
        <v>5.95</v>
      </c>
      <c r="E35" s="8">
        <f t="shared" si="5"/>
        <v>473</v>
      </c>
      <c r="L35">
        <v>0</v>
      </c>
    </row>
    <row r="36" spans="1:12">
      <c r="A36" s="22">
        <v>45930</v>
      </c>
      <c r="B36" s="23" t="s">
        <v>408</v>
      </c>
      <c r="C36" s="23">
        <v>104.98</v>
      </c>
      <c r="D36" s="19" t="str">
        <f t="shared" si="4"/>
        <v>5.95</v>
      </c>
      <c r="E36" s="8">
        <f t="shared" si="5"/>
        <v>624</v>
      </c>
      <c r="L36">
        <v>0</v>
      </c>
    </row>
    <row r="37" spans="1:12">
      <c r="A37" s="22">
        <v>45930</v>
      </c>
      <c r="B37" s="23" t="s">
        <v>403</v>
      </c>
      <c r="C37" s="23">
        <v>50.87</v>
      </c>
      <c r="D37" s="19" t="str">
        <f t="shared" si="4"/>
        <v>5.95</v>
      </c>
      <c r="E37" s="8">
        <f t="shared" si="5"/>
        <v>302</v>
      </c>
      <c r="L37">
        <v>0</v>
      </c>
    </row>
    <row r="38" spans="1:12">
      <c r="A38" s="22">
        <v>45930</v>
      </c>
      <c r="B38" s="23" t="s">
        <v>409</v>
      </c>
      <c r="C38" s="23">
        <v>84.07</v>
      </c>
      <c r="D38" s="19" t="str">
        <f t="shared" si="4"/>
        <v>5.95</v>
      </c>
      <c r="E38" s="8">
        <f t="shared" si="5"/>
        <v>500</v>
      </c>
      <c r="L38">
        <v>0</v>
      </c>
    </row>
    <row r="39" spans="1:12">
      <c r="A39" s="22">
        <v>45930</v>
      </c>
      <c r="B39" s="23" t="s">
        <v>400</v>
      </c>
      <c r="C39" s="23">
        <v>111.3</v>
      </c>
      <c r="D39" s="19" t="str">
        <f t="shared" si="4"/>
        <v>5.95</v>
      </c>
      <c r="E39" s="8">
        <f t="shared" si="5"/>
        <v>662</v>
      </c>
      <c r="L39">
        <v>0</v>
      </c>
    </row>
    <row r="40" spans="1:12">
      <c r="A40" s="22">
        <v>45932</v>
      </c>
      <c r="B40" s="23" t="s">
        <v>407</v>
      </c>
      <c r="C40" s="23">
        <v>73.97</v>
      </c>
      <c r="D40" s="19" t="str">
        <f t="shared" si="4"/>
        <v>5.95</v>
      </c>
      <c r="E40" s="8">
        <f t="shared" si="5"/>
        <v>440</v>
      </c>
      <c r="L40">
        <v>0</v>
      </c>
    </row>
    <row r="41" spans="1:12">
      <c r="A41" s="22">
        <v>45933</v>
      </c>
      <c r="B41" s="23" t="s">
        <v>405</v>
      </c>
      <c r="C41" s="23">
        <v>50.13</v>
      </c>
      <c r="D41" s="19" t="str">
        <f t="shared" si="4"/>
        <v>5.95</v>
      </c>
      <c r="E41" s="8">
        <f t="shared" si="5"/>
        <v>298</v>
      </c>
      <c r="L41">
        <v>0</v>
      </c>
    </row>
    <row r="42" spans="1:12">
      <c r="A42" s="22">
        <v>45933</v>
      </c>
      <c r="B42" s="23" t="s">
        <v>402</v>
      </c>
      <c r="C42" s="23">
        <v>55.52</v>
      </c>
      <c r="D42" s="19" t="str">
        <f t="shared" si="4"/>
        <v>5.95</v>
      </c>
      <c r="E42" s="8">
        <f t="shared" si="5"/>
        <v>330</v>
      </c>
      <c r="L42">
        <v>0</v>
      </c>
    </row>
    <row r="43" spans="1:12">
      <c r="A43" s="22">
        <v>45934</v>
      </c>
      <c r="B43" s="23" t="s">
        <v>406</v>
      </c>
      <c r="C43" s="23">
        <v>110.25</v>
      </c>
      <c r="D43" s="19" t="str">
        <f t="shared" si="4"/>
        <v>5.95</v>
      </c>
      <c r="E43" s="8">
        <f t="shared" si="5"/>
        <v>655</v>
      </c>
      <c r="L43">
        <v>0</v>
      </c>
    </row>
    <row r="44" spans="1:12">
      <c r="A44" s="22">
        <v>45934</v>
      </c>
      <c r="B44" s="23" t="s">
        <v>406</v>
      </c>
      <c r="C44" s="23">
        <v>74</v>
      </c>
      <c r="D44" s="19" t="str">
        <f t="shared" si="4"/>
        <v>5.95</v>
      </c>
      <c r="E44" s="8">
        <f t="shared" si="5"/>
        <v>440</v>
      </c>
      <c r="L44">
        <v>0</v>
      </c>
    </row>
    <row r="45" spans="4:12">
      <c r="D45" s="19"/>
      <c r="E45" s="8"/>
      <c r="F45">
        <f>SUM(E40:E44)</f>
        <v>2163</v>
      </c>
      <c r="L45">
        <v>0</v>
      </c>
    </row>
    <row r="46" spans="1:12">
      <c r="A46" s="22">
        <v>45935</v>
      </c>
      <c r="B46" s="23" t="s">
        <v>413</v>
      </c>
      <c r="C46" s="23">
        <v>311.94</v>
      </c>
      <c r="D46" s="19" t="str">
        <f t="shared" ref="D45:D60" si="6">IF(C46&gt;=200,"5.85",IF(C46&lt;200,"5.95"))</f>
        <v>5.85</v>
      </c>
      <c r="E46" s="8">
        <f t="shared" ref="E45:E63" si="7">INT(C46*D46)</f>
        <v>1824</v>
      </c>
      <c r="L46">
        <v>0</v>
      </c>
    </row>
    <row r="47" spans="1:12">
      <c r="A47" s="22">
        <v>45935</v>
      </c>
      <c r="B47" s="23" t="s">
        <v>409</v>
      </c>
      <c r="C47" s="23">
        <v>79.83</v>
      </c>
      <c r="D47" s="19" t="str">
        <f t="shared" si="6"/>
        <v>5.95</v>
      </c>
      <c r="E47" s="8">
        <f t="shared" si="7"/>
        <v>474</v>
      </c>
      <c r="L47">
        <v>0</v>
      </c>
    </row>
    <row r="48" spans="1:12">
      <c r="A48" s="22">
        <v>45936</v>
      </c>
      <c r="B48" s="23" t="s">
        <v>410</v>
      </c>
      <c r="C48" s="23">
        <v>60.66</v>
      </c>
      <c r="D48" s="19" t="str">
        <f t="shared" si="6"/>
        <v>5.95</v>
      </c>
      <c r="E48" s="8">
        <f t="shared" si="7"/>
        <v>360</v>
      </c>
      <c r="L48">
        <v>0</v>
      </c>
    </row>
    <row r="49" spans="1:12">
      <c r="A49" s="22">
        <v>45936</v>
      </c>
      <c r="B49" s="23" t="s">
        <v>400</v>
      </c>
      <c r="C49" s="23">
        <v>91.93</v>
      </c>
      <c r="D49" s="19" t="str">
        <f t="shared" si="6"/>
        <v>5.95</v>
      </c>
      <c r="E49" s="8">
        <f t="shared" si="7"/>
        <v>546</v>
      </c>
      <c r="L49">
        <v>0</v>
      </c>
    </row>
    <row r="50" spans="1:12">
      <c r="A50" s="22">
        <v>45936</v>
      </c>
      <c r="B50" s="23" t="s">
        <v>402</v>
      </c>
      <c r="C50" s="23">
        <v>53.31</v>
      </c>
      <c r="D50" s="19" t="str">
        <f t="shared" si="6"/>
        <v>5.95</v>
      </c>
      <c r="E50" s="8">
        <f t="shared" si="7"/>
        <v>317</v>
      </c>
      <c r="L50">
        <v>0</v>
      </c>
    </row>
    <row r="51" spans="1:12">
      <c r="A51" s="22">
        <v>45937</v>
      </c>
      <c r="B51" s="23" t="s">
        <v>399</v>
      </c>
      <c r="C51" s="23">
        <v>59.18</v>
      </c>
      <c r="D51" s="19" t="str">
        <f t="shared" si="6"/>
        <v>5.95</v>
      </c>
      <c r="E51" s="8">
        <f t="shared" si="7"/>
        <v>352</v>
      </c>
      <c r="L51">
        <v>0</v>
      </c>
    </row>
    <row r="52" spans="1:12">
      <c r="A52" s="22">
        <v>45938</v>
      </c>
      <c r="B52" s="23" t="s">
        <v>405</v>
      </c>
      <c r="C52" s="23">
        <v>56.16</v>
      </c>
      <c r="D52" s="19" t="str">
        <f t="shared" si="6"/>
        <v>5.95</v>
      </c>
      <c r="E52" s="8">
        <f t="shared" si="7"/>
        <v>334</v>
      </c>
      <c r="L52">
        <v>0</v>
      </c>
    </row>
    <row r="53" spans="1:12">
      <c r="A53" s="22">
        <v>45939</v>
      </c>
      <c r="B53" s="23" t="s">
        <v>404</v>
      </c>
      <c r="C53" s="23">
        <v>94.81</v>
      </c>
      <c r="D53" s="19" t="str">
        <f t="shared" si="6"/>
        <v>5.95</v>
      </c>
      <c r="E53" s="8">
        <f t="shared" si="7"/>
        <v>564</v>
      </c>
      <c r="L53">
        <v>0</v>
      </c>
    </row>
    <row r="54" spans="1:12">
      <c r="A54" s="22">
        <v>45939</v>
      </c>
      <c r="B54" s="23" t="s">
        <v>407</v>
      </c>
      <c r="C54" s="23">
        <v>73.97</v>
      </c>
      <c r="D54" s="19" t="str">
        <f t="shared" si="6"/>
        <v>5.95</v>
      </c>
      <c r="E54" s="8">
        <f t="shared" si="7"/>
        <v>440</v>
      </c>
      <c r="L54">
        <v>0</v>
      </c>
    </row>
    <row r="55" spans="1:12">
      <c r="A55" s="22">
        <v>45939</v>
      </c>
      <c r="B55" s="23" t="s">
        <v>406</v>
      </c>
      <c r="C55" s="23">
        <v>80</v>
      </c>
      <c r="D55" s="19" t="str">
        <f t="shared" si="6"/>
        <v>5.95</v>
      </c>
      <c r="E55" s="8">
        <f t="shared" si="7"/>
        <v>476</v>
      </c>
      <c r="L55">
        <v>0</v>
      </c>
    </row>
    <row r="56" spans="1:12">
      <c r="A56" s="22">
        <v>45940</v>
      </c>
      <c r="B56" s="23" t="s">
        <v>403</v>
      </c>
      <c r="C56" s="23">
        <v>50.61</v>
      </c>
      <c r="D56" s="19" t="str">
        <f t="shared" si="6"/>
        <v>5.95</v>
      </c>
      <c r="E56" s="8">
        <f t="shared" si="7"/>
        <v>301</v>
      </c>
      <c r="L56">
        <v>0</v>
      </c>
    </row>
    <row r="57" spans="1:5">
      <c r="A57" s="22">
        <v>45940</v>
      </c>
      <c r="B57" s="23" t="s">
        <v>412</v>
      </c>
      <c r="C57" s="23">
        <v>87.74</v>
      </c>
      <c r="D57" s="19" t="str">
        <f t="shared" si="6"/>
        <v>5.95</v>
      </c>
      <c r="E57" s="8">
        <f t="shared" si="7"/>
        <v>522</v>
      </c>
    </row>
    <row r="58" spans="1:5">
      <c r="A58" s="22">
        <v>45940</v>
      </c>
      <c r="B58" s="23" t="s">
        <v>401</v>
      </c>
      <c r="C58" s="23">
        <v>59.18</v>
      </c>
      <c r="D58" s="19" t="str">
        <f t="shared" si="6"/>
        <v>5.95</v>
      </c>
      <c r="E58" s="8">
        <f t="shared" si="7"/>
        <v>352</v>
      </c>
    </row>
    <row r="59" spans="1:5">
      <c r="A59" s="22">
        <v>45940</v>
      </c>
      <c r="B59" s="23" t="s">
        <v>402</v>
      </c>
      <c r="C59" s="23">
        <v>59.04</v>
      </c>
      <c r="D59" s="19" t="str">
        <f t="shared" si="6"/>
        <v>5.95</v>
      </c>
      <c r="E59" s="8">
        <f t="shared" si="7"/>
        <v>351</v>
      </c>
    </row>
    <row r="60" spans="1:5">
      <c r="A60" s="22">
        <v>45940</v>
      </c>
      <c r="B60" s="23" t="s">
        <v>409</v>
      </c>
      <c r="C60" s="23">
        <v>76.92</v>
      </c>
      <c r="D60" s="19" t="str">
        <f t="shared" si="6"/>
        <v>5.95</v>
      </c>
      <c r="E60" s="8">
        <f t="shared" si="7"/>
        <v>457</v>
      </c>
    </row>
    <row r="61" spans="4:6">
      <c r="D61" s="19"/>
      <c r="E61" s="8">
        <f t="shared" si="7"/>
        <v>0</v>
      </c>
      <c r="F61">
        <f>SUM(E46:E60)</f>
        <v>7670</v>
      </c>
    </row>
    <row r="62" spans="1:5">
      <c r="A62" s="22">
        <v>45942</v>
      </c>
      <c r="B62" s="23" t="s">
        <v>385</v>
      </c>
      <c r="C62" s="23">
        <v>53.95</v>
      </c>
      <c r="D62" s="19" t="str">
        <f>IF(C62&gt;=200,"5.75",IF(C62&lt;200,"5.95"))</f>
        <v>5.95</v>
      </c>
      <c r="E62" s="8">
        <f t="shared" si="7"/>
        <v>321</v>
      </c>
    </row>
    <row r="63" spans="1:5">
      <c r="A63" s="22">
        <v>45943</v>
      </c>
      <c r="B63" s="23" t="s">
        <v>395</v>
      </c>
      <c r="C63" s="23">
        <v>84.83</v>
      </c>
      <c r="D63" s="19" t="str">
        <f>IF(C63&gt;=200,"5.75",IF(C63&lt;200,"5.95"))</f>
        <v>5.95</v>
      </c>
      <c r="E63" s="8">
        <f t="shared" si="7"/>
        <v>504</v>
      </c>
    </row>
    <row r="64" spans="5:5">
      <c r="E64">
        <f>SUM(E62:E63)</f>
        <v>825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M56"/>
  <sheetViews>
    <sheetView topLeftCell="A15" workbookViewId="0">
      <selection activeCell="A40" sqref="A40:E47"/>
    </sheetView>
  </sheetViews>
  <sheetFormatPr defaultColWidth="9" defaultRowHeight="14.25"/>
  <cols>
    <col min="1" max="1" width="11" customWidth="1"/>
  </cols>
  <sheetData>
    <row r="1" ht="22.5" spans="1:13">
      <c r="A1" s="38" t="s">
        <v>0</v>
      </c>
      <c r="B1" s="39" t="s">
        <v>414</v>
      </c>
      <c r="C1" s="53"/>
      <c r="D1" s="5"/>
      <c r="E1" s="26" t="s">
        <v>2</v>
      </c>
      <c r="F1" s="42"/>
      <c r="G1" s="61"/>
      <c r="H1" s="44"/>
      <c r="L1" t="str" cm="1">
        <f t="array" ref="L1:L56">_xlfn.TOCOL(A2:G9)</f>
        <v>粤V98689</v>
      </c>
      <c r="M1" t="s">
        <v>415</v>
      </c>
    </row>
    <row r="2" spans="1:13">
      <c r="A2" s="45" t="s">
        <v>415</v>
      </c>
      <c r="B2" s="56" t="s">
        <v>416</v>
      </c>
      <c r="C2" s="47" t="s">
        <v>417</v>
      </c>
      <c r="D2" s="45" t="s">
        <v>418</v>
      </c>
      <c r="E2" s="45" t="s">
        <v>419</v>
      </c>
      <c r="F2" s="45" t="s">
        <v>420</v>
      </c>
      <c r="G2" s="45" t="s">
        <v>421</v>
      </c>
      <c r="H2" s="46"/>
      <c r="L2" t="str">
        <v>粤VX6670</v>
      </c>
      <c r="M2" t="s">
        <v>416</v>
      </c>
    </row>
    <row r="3" spans="1:13">
      <c r="A3" s="45" t="s">
        <v>422</v>
      </c>
      <c r="B3" s="56" t="s">
        <v>423</v>
      </c>
      <c r="C3" s="45" t="s">
        <v>424</v>
      </c>
      <c r="D3" s="8"/>
      <c r="E3" s="8"/>
      <c r="F3" s="8"/>
      <c r="G3" s="13"/>
      <c r="H3" s="46"/>
      <c r="L3" t="str">
        <v>粤V1088B</v>
      </c>
      <c r="M3" t="s">
        <v>417</v>
      </c>
    </row>
    <row r="4" spans="1:13">
      <c r="A4" s="14"/>
      <c r="B4" s="8"/>
      <c r="C4" s="8"/>
      <c r="D4" s="8"/>
      <c r="E4" s="8"/>
      <c r="F4" s="8"/>
      <c r="G4" s="13"/>
      <c r="H4" s="46"/>
      <c r="L4" t="str">
        <v>粤VN3842</v>
      </c>
      <c r="M4" t="s">
        <v>418</v>
      </c>
    </row>
    <row r="5" spans="1:13">
      <c r="A5" s="14"/>
      <c r="B5" s="45"/>
      <c r="C5" s="56"/>
      <c r="D5" s="45"/>
      <c r="E5" s="45"/>
      <c r="F5" s="45"/>
      <c r="G5" s="13"/>
      <c r="H5" s="46"/>
      <c r="L5" t="str">
        <v>粤VM8760</v>
      </c>
      <c r="M5" t="s">
        <v>419</v>
      </c>
    </row>
    <row r="6" spans="1:13">
      <c r="A6" s="14"/>
      <c r="B6" s="45"/>
      <c r="C6" s="56"/>
      <c r="D6" s="45"/>
      <c r="E6" s="45"/>
      <c r="F6" s="45"/>
      <c r="G6" s="13"/>
      <c r="H6" s="46"/>
      <c r="L6" t="str">
        <v>粤D2193T</v>
      </c>
      <c r="M6" t="s">
        <v>420</v>
      </c>
    </row>
    <row r="7" spans="1:13">
      <c r="A7" s="14"/>
      <c r="B7" s="45"/>
      <c r="C7" s="56"/>
      <c r="D7" s="34"/>
      <c r="E7" s="45"/>
      <c r="F7" s="45"/>
      <c r="G7" s="13"/>
      <c r="H7" s="46"/>
      <c r="L7" t="str">
        <v>闽EK5739</v>
      </c>
      <c r="M7" t="s">
        <v>421</v>
      </c>
    </row>
    <row r="8" spans="1:13">
      <c r="A8" s="14"/>
      <c r="B8" s="45"/>
      <c r="C8" s="56"/>
      <c r="D8" s="45"/>
      <c r="E8" s="45"/>
      <c r="F8" s="45"/>
      <c r="G8" s="13"/>
      <c r="H8" s="46"/>
      <c r="L8" t="str">
        <v>粤VN3731</v>
      </c>
      <c r="M8" t="s">
        <v>422</v>
      </c>
    </row>
    <row r="9" spans="1:13">
      <c r="A9" s="14"/>
      <c r="B9" s="45"/>
      <c r="C9" s="56"/>
      <c r="D9" s="45"/>
      <c r="E9" s="34"/>
      <c r="F9" s="34"/>
      <c r="G9" s="13"/>
      <c r="H9" s="46"/>
      <c r="L9" t="str">
        <v>粤USZ732</v>
      </c>
      <c r="M9" t="s">
        <v>423</v>
      </c>
    </row>
    <row r="10" spans="12:13">
      <c r="L10" t="str">
        <v>湘MYX308</v>
      </c>
      <c r="M10" t="s">
        <v>424</v>
      </c>
    </row>
    <row r="11" spans="1:12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22">
        <v>45926</v>
      </c>
      <c r="B12" s="23" t="s">
        <v>425</v>
      </c>
      <c r="C12" s="23">
        <v>53.88</v>
      </c>
      <c r="D12" s="19" t="str">
        <f>IF(C12&gt;=200,"5.75",IF(C12&lt;200,"5.95"))</f>
        <v>5.95</v>
      </c>
      <c r="E12" s="8">
        <f t="shared" ref="E12:E14" si="0">INT(C12*D12)</f>
        <v>320</v>
      </c>
      <c r="L12">
        <v>0</v>
      </c>
    </row>
    <row r="13" spans="1:12">
      <c r="A13" s="22">
        <v>45927</v>
      </c>
      <c r="B13" s="23" t="s">
        <v>426</v>
      </c>
      <c r="C13" s="23">
        <v>170.02</v>
      </c>
      <c r="D13" s="19" t="str">
        <f t="shared" ref="D13:D15" si="1">IF(C13&gt;=200,"5.75",IF(C13&lt;200,"5.95"))</f>
        <v>5.95</v>
      </c>
      <c r="E13" s="8">
        <f t="shared" si="0"/>
        <v>1011</v>
      </c>
      <c r="L13">
        <v>0</v>
      </c>
    </row>
    <row r="14" spans="1:12">
      <c r="A14" s="22">
        <v>45927</v>
      </c>
      <c r="B14" s="23" t="s">
        <v>427</v>
      </c>
      <c r="C14" s="23">
        <v>184.1</v>
      </c>
      <c r="D14" s="19" t="str">
        <f t="shared" si="1"/>
        <v>5.95</v>
      </c>
      <c r="E14" s="8">
        <f t="shared" si="0"/>
        <v>1095</v>
      </c>
      <c r="L14">
        <v>0</v>
      </c>
    </row>
    <row r="15" spans="1:12">
      <c r="A15" s="22">
        <v>45927</v>
      </c>
      <c r="B15" s="23" t="s">
        <v>428</v>
      </c>
      <c r="C15" s="23">
        <v>398.37</v>
      </c>
      <c r="D15" s="19" t="str">
        <f t="shared" si="1"/>
        <v>5.75</v>
      </c>
      <c r="E15" s="8">
        <f t="shared" ref="E15:E26" si="2">INT(C15*D15)</f>
        <v>2290</v>
      </c>
      <c r="L15">
        <v>0</v>
      </c>
    </row>
    <row r="16" spans="1:12">
      <c r="A16" s="22">
        <v>45928</v>
      </c>
      <c r="B16" s="23" t="s">
        <v>429</v>
      </c>
      <c r="C16" s="23">
        <v>273.67</v>
      </c>
      <c r="D16" s="19" t="str">
        <f t="shared" ref="D16:D26" si="3">IF(C16&gt;=200,"5.85",IF(C16&lt;200,"5.95"))</f>
        <v>5.85</v>
      </c>
      <c r="E16" s="8">
        <f t="shared" si="2"/>
        <v>1600</v>
      </c>
      <c r="L16">
        <v>0</v>
      </c>
    </row>
    <row r="17" spans="1:12">
      <c r="A17" s="22">
        <v>45928</v>
      </c>
      <c r="B17" s="23" t="s">
        <v>425</v>
      </c>
      <c r="C17" s="23">
        <v>80.13</v>
      </c>
      <c r="D17" s="19" t="str">
        <f t="shared" si="3"/>
        <v>5.95</v>
      </c>
      <c r="E17" s="8">
        <f t="shared" si="2"/>
        <v>476</v>
      </c>
      <c r="L17">
        <v>0</v>
      </c>
    </row>
    <row r="18" spans="1:12">
      <c r="A18" s="22">
        <v>45929</v>
      </c>
      <c r="B18" s="23" t="s">
        <v>430</v>
      </c>
      <c r="C18" s="23">
        <v>88.17</v>
      </c>
      <c r="D18" s="19" t="str">
        <f t="shared" si="3"/>
        <v>5.95</v>
      </c>
      <c r="E18" s="8">
        <f t="shared" si="2"/>
        <v>524</v>
      </c>
      <c r="L18">
        <v>0</v>
      </c>
    </row>
    <row r="19" spans="1:12">
      <c r="A19" s="22">
        <v>45929</v>
      </c>
      <c r="B19" s="23" t="s">
        <v>431</v>
      </c>
      <c r="C19" s="23">
        <v>206.56</v>
      </c>
      <c r="D19" s="19" t="str">
        <f t="shared" si="3"/>
        <v>5.85</v>
      </c>
      <c r="E19" s="8">
        <f t="shared" si="2"/>
        <v>1208</v>
      </c>
      <c r="L19">
        <v>0</v>
      </c>
    </row>
    <row r="20" spans="1:12">
      <c r="A20" s="22">
        <v>45929</v>
      </c>
      <c r="B20" s="23" t="s">
        <v>425</v>
      </c>
      <c r="C20" s="23">
        <v>52.79</v>
      </c>
      <c r="D20" s="19" t="str">
        <f t="shared" si="3"/>
        <v>5.95</v>
      </c>
      <c r="E20" s="8">
        <f t="shared" si="2"/>
        <v>314</v>
      </c>
      <c r="L20">
        <v>0</v>
      </c>
    </row>
    <row r="21" spans="1:12">
      <c r="A21" s="22">
        <v>45930</v>
      </c>
      <c r="B21" s="23" t="s">
        <v>432</v>
      </c>
      <c r="C21" s="23">
        <v>220</v>
      </c>
      <c r="D21" s="19" t="str">
        <f t="shared" si="3"/>
        <v>5.85</v>
      </c>
      <c r="E21" s="8">
        <f t="shared" si="2"/>
        <v>1287</v>
      </c>
      <c r="L21">
        <v>0</v>
      </c>
    </row>
    <row r="22" spans="1:12">
      <c r="A22" s="22">
        <v>45931</v>
      </c>
      <c r="B22" s="23" t="s">
        <v>425</v>
      </c>
      <c r="C22" s="23">
        <v>75.3</v>
      </c>
      <c r="D22" s="19" t="str">
        <f t="shared" si="3"/>
        <v>5.95</v>
      </c>
      <c r="E22" s="8">
        <f t="shared" si="2"/>
        <v>448</v>
      </c>
      <c r="L22">
        <v>0</v>
      </c>
    </row>
    <row r="23" spans="1:12">
      <c r="A23" s="22">
        <v>45933</v>
      </c>
      <c r="B23" s="23" t="s">
        <v>430</v>
      </c>
      <c r="C23" s="23">
        <v>86.91</v>
      </c>
      <c r="D23" s="19" t="str">
        <f t="shared" si="3"/>
        <v>5.95</v>
      </c>
      <c r="E23" s="8">
        <f t="shared" si="2"/>
        <v>517</v>
      </c>
      <c r="L23">
        <v>0</v>
      </c>
    </row>
    <row r="24" spans="1:12">
      <c r="A24" s="22">
        <v>45933</v>
      </c>
      <c r="B24" s="23" t="s">
        <v>425</v>
      </c>
      <c r="C24" s="23">
        <v>94.13</v>
      </c>
      <c r="D24" s="19" t="str">
        <f t="shared" si="3"/>
        <v>5.95</v>
      </c>
      <c r="E24" s="8">
        <f t="shared" si="2"/>
        <v>560</v>
      </c>
      <c r="L24">
        <v>0</v>
      </c>
    </row>
    <row r="25" spans="1:12">
      <c r="A25" s="22">
        <v>45934</v>
      </c>
      <c r="B25" s="23" t="s">
        <v>427</v>
      </c>
      <c r="C25" s="23">
        <v>200.03</v>
      </c>
      <c r="D25" s="19" t="str">
        <f t="shared" si="3"/>
        <v>5.85</v>
      </c>
      <c r="E25" s="8">
        <f t="shared" si="2"/>
        <v>1170</v>
      </c>
      <c r="L25">
        <v>0</v>
      </c>
    </row>
    <row r="26" spans="1:12">
      <c r="A26" s="22">
        <v>45934</v>
      </c>
      <c r="B26" s="23" t="s">
        <v>426</v>
      </c>
      <c r="C26" s="23">
        <v>180.95</v>
      </c>
      <c r="D26" s="19" t="str">
        <f t="shared" si="3"/>
        <v>5.95</v>
      </c>
      <c r="E26" s="8">
        <f t="shared" si="2"/>
        <v>1076</v>
      </c>
      <c r="L26">
        <v>0</v>
      </c>
    </row>
    <row r="27" spans="4:12">
      <c r="D27" s="19"/>
      <c r="E27" s="8"/>
      <c r="F27">
        <f>SUM(E23:E26)</f>
        <v>3323</v>
      </c>
      <c r="L27">
        <v>0</v>
      </c>
    </row>
    <row r="28" spans="1:12">
      <c r="A28" s="22">
        <v>45935</v>
      </c>
      <c r="B28" s="23" t="s">
        <v>428</v>
      </c>
      <c r="C28" s="23">
        <v>360</v>
      </c>
      <c r="D28" s="19" t="str">
        <f t="shared" ref="D27:D38" si="4">IF(C28&gt;=200,"5.85",IF(C28&lt;200,"5.95"))</f>
        <v>5.85</v>
      </c>
      <c r="E28" s="8">
        <f t="shared" ref="E27:E38" si="5">INT(C28*D28)</f>
        <v>2106</v>
      </c>
      <c r="L28">
        <v>0</v>
      </c>
    </row>
    <row r="29" spans="1:12">
      <c r="A29" s="22">
        <v>45935</v>
      </c>
      <c r="B29" s="23" t="s">
        <v>431</v>
      </c>
      <c r="C29" s="23">
        <v>199.53</v>
      </c>
      <c r="D29" s="19" t="str">
        <f t="shared" si="4"/>
        <v>5.95</v>
      </c>
      <c r="E29" s="8">
        <f t="shared" si="5"/>
        <v>1187</v>
      </c>
      <c r="L29">
        <v>0</v>
      </c>
    </row>
    <row r="30" spans="1:12">
      <c r="A30" s="22">
        <v>45936</v>
      </c>
      <c r="B30" s="23" t="s">
        <v>430</v>
      </c>
      <c r="C30" s="23">
        <v>46.67</v>
      </c>
      <c r="D30" s="19" t="str">
        <f t="shared" si="4"/>
        <v>5.95</v>
      </c>
      <c r="E30" s="8">
        <f t="shared" si="5"/>
        <v>277</v>
      </c>
      <c r="L30">
        <v>0</v>
      </c>
    </row>
    <row r="31" spans="1:12">
      <c r="A31" s="22">
        <v>45937</v>
      </c>
      <c r="B31" s="23" t="s">
        <v>433</v>
      </c>
      <c r="C31" s="23">
        <v>82.68</v>
      </c>
      <c r="D31" s="19" t="str">
        <f t="shared" si="4"/>
        <v>5.95</v>
      </c>
      <c r="E31" s="8">
        <f t="shared" si="5"/>
        <v>491</v>
      </c>
      <c r="L31">
        <v>0</v>
      </c>
    </row>
    <row r="32" spans="1:12">
      <c r="A32" s="22">
        <v>45937</v>
      </c>
      <c r="B32" s="23" t="s">
        <v>425</v>
      </c>
      <c r="C32" s="23">
        <v>67.86</v>
      </c>
      <c r="D32" s="19" t="str">
        <f t="shared" si="4"/>
        <v>5.95</v>
      </c>
      <c r="E32" s="8">
        <f t="shared" si="5"/>
        <v>403</v>
      </c>
      <c r="L32">
        <v>0</v>
      </c>
    </row>
    <row r="33" spans="1:12">
      <c r="A33" s="22">
        <v>45938</v>
      </c>
      <c r="B33" s="23" t="s">
        <v>425</v>
      </c>
      <c r="C33" s="23">
        <v>58.41</v>
      </c>
      <c r="D33" s="19" t="str">
        <f t="shared" si="4"/>
        <v>5.95</v>
      </c>
      <c r="E33" s="8">
        <f t="shared" si="5"/>
        <v>347</v>
      </c>
      <c r="L33">
        <v>0</v>
      </c>
    </row>
    <row r="34" spans="1:12">
      <c r="A34" s="22">
        <v>45939</v>
      </c>
      <c r="B34" s="23" t="s">
        <v>430</v>
      </c>
      <c r="C34" s="23">
        <v>87.31</v>
      </c>
      <c r="D34" s="19" t="str">
        <f t="shared" si="4"/>
        <v>5.95</v>
      </c>
      <c r="E34" s="8">
        <f t="shared" si="5"/>
        <v>519</v>
      </c>
      <c r="L34">
        <v>0</v>
      </c>
    </row>
    <row r="35" spans="1:12">
      <c r="A35" s="22">
        <v>45939</v>
      </c>
      <c r="B35" s="23" t="s">
        <v>431</v>
      </c>
      <c r="C35" s="23">
        <v>162.05</v>
      </c>
      <c r="D35" s="19" t="str">
        <f t="shared" si="4"/>
        <v>5.95</v>
      </c>
      <c r="E35" s="8">
        <f t="shared" si="5"/>
        <v>964</v>
      </c>
      <c r="L35">
        <v>0</v>
      </c>
    </row>
    <row r="36" spans="1:12">
      <c r="A36" s="22">
        <v>45939</v>
      </c>
      <c r="B36" s="23" t="s">
        <v>427</v>
      </c>
      <c r="C36" s="23">
        <v>157.18</v>
      </c>
      <c r="D36" s="19" t="str">
        <f t="shared" si="4"/>
        <v>5.95</v>
      </c>
      <c r="E36" s="8">
        <f t="shared" si="5"/>
        <v>935</v>
      </c>
      <c r="L36">
        <v>0</v>
      </c>
    </row>
    <row r="37" spans="1:12">
      <c r="A37" s="22">
        <v>45940</v>
      </c>
      <c r="B37" s="23" t="s">
        <v>432</v>
      </c>
      <c r="C37" s="23">
        <v>228</v>
      </c>
      <c r="D37" s="19" t="str">
        <f t="shared" si="4"/>
        <v>5.85</v>
      </c>
      <c r="E37" s="8">
        <f t="shared" si="5"/>
        <v>1333</v>
      </c>
      <c r="L37">
        <v>0</v>
      </c>
    </row>
    <row r="38" spans="1:12">
      <c r="A38" s="22">
        <v>45940</v>
      </c>
      <c r="B38" s="23" t="s">
        <v>428</v>
      </c>
      <c r="C38" s="23">
        <v>341.03</v>
      </c>
      <c r="D38" s="19" t="str">
        <f t="shared" si="4"/>
        <v>5.85</v>
      </c>
      <c r="E38" s="8">
        <f t="shared" si="5"/>
        <v>1995</v>
      </c>
      <c r="L38">
        <v>0</v>
      </c>
    </row>
    <row r="39" spans="4:12">
      <c r="D39" s="19"/>
      <c r="E39" s="8">
        <f t="shared" ref="E39:E46" si="6">INT(C39*D39)</f>
        <v>0</v>
      </c>
      <c r="F39">
        <f>SUM(E28:E38)</f>
        <v>10557</v>
      </c>
      <c r="L39">
        <v>0</v>
      </c>
    </row>
    <row r="40" spans="1:12">
      <c r="A40" s="22">
        <v>45941</v>
      </c>
      <c r="B40" s="23" t="s">
        <v>424</v>
      </c>
      <c r="C40" s="23">
        <v>272.21</v>
      </c>
      <c r="D40" s="19" t="str">
        <f>IF(C40&gt;=200,"5.75",IF(C40&lt;200,"5.95"))</f>
        <v>5.75</v>
      </c>
      <c r="E40" s="8">
        <f t="shared" si="6"/>
        <v>1565</v>
      </c>
      <c r="L40">
        <v>0</v>
      </c>
    </row>
    <row r="41" spans="1:12">
      <c r="A41" s="22">
        <v>45941</v>
      </c>
      <c r="B41" s="23" t="s">
        <v>420</v>
      </c>
      <c r="C41" s="23">
        <v>66.17</v>
      </c>
      <c r="D41" s="19" t="str">
        <f t="shared" ref="D41:D46" si="7">IF(C41&gt;=200,"5.75",IF(C41&lt;200,"5.95"))</f>
        <v>5.95</v>
      </c>
      <c r="E41" s="8">
        <f t="shared" si="6"/>
        <v>393</v>
      </c>
      <c r="L41">
        <v>0</v>
      </c>
    </row>
    <row r="42" spans="1:12">
      <c r="A42" s="22">
        <v>45942</v>
      </c>
      <c r="B42" s="23" t="s">
        <v>415</v>
      </c>
      <c r="C42" s="23">
        <v>144.35</v>
      </c>
      <c r="D42" s="19" t="str">
        <f t="shared" si="7"/>
        <v>5.95</v>
      </c>
      <c r="E42" s="8">
        <f t="shared" si="6"/>
        <v>858</v>
      </c>
      <c r="L42">
        <v>0</v>
      </c>
    </row>
    <row r="43" spans="1:12">
      <c r="A43" s="22">
        <v>45942</v>
      </c>
      <c r="B43" s="23" t="s">
        <v>417</v>
      </c>
      <c r="C43" s="23">
        <v>64.55</v>
      </c>
      <c r="D43" s="19" t="str">
        <f t="shared" si="7"/>
        <v>5.95</v>
      </c>
      <c r="E43" s="8">
        <f t="shared" si="6"/>
        <v>384</v>
      </c>
      <c r="L43">
        <v>0</v>
      </c>
    </row>
    <row r="44" spans="1:12">
      <c r="A44" s="22">
        <v>45942</v>
      </c>
      <c r="B44" s="23" t="s">
        <v>420</v>
      </c>
      <c r="C44" s="23">
        <v>46.68</v>
      </c>
      <c r="D44" s="19" t="str">
        <f t="shared" si="7"/>
        <v>5.95</v>
      </c>
      <c r="E44" s="8">
        <f t="shared" si="6"/>
        <v>277</v>
      </c>
      <c r="L44">
        <v>0</v>
      </c>
    </row>
    <row r="45" spans="1:12">
      <c r="A45" s="22">
        <v>45943</v>
      </c>
      <c r="B45" s="23" t="s">
        <v>416</v>
      </c>
      <c r="C45" s="23">
        <v>195.29</v>
      </c>
      <c r="D45" s="19" t="str">
        <f t="shared" si="7"/>
        <v>5.95</v>
      </c>
      <c r="E45" s="8">
        <f t="shared" si="6"/>
        <v>1161</v>
      </c>
      <c r="L45">
        <v>0</v>
      </c>
    </row>
    <row r="46" spans="1:12">
      <c r="A46" s="22">
        <v>45943</v>
      </c>
      <c r="B46" s="23" t="s">
        <v>419</v>
      </c>
      <c r="C46" s="23">
        <v>171.92</v>
      </c>
      <c r="D46" s="19" t="str">
        <f t="shared" si="7"/>
        <v>5.95</v>
      </c>
      <c r="E46" s="8">
        <f t="shared" si="6"/>
        <v>1022</v>
      </c>
      <c r="L46">
        <v>0</v>
      </c>
    </row>
    <row r="47" spans="5:12">
      <c r="E47">
        <f>SUM(E40:E46)</f>
        <v>5660</v>
      </c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M56"/>
  <sheetViews>
    <sheetView workbookViewId="0">
      <selection activeCell="A23" sqref="A23:E26"/>
    </sheetView>
  </sheetViews>
  <sheetFormatPr defaultColWidth="9" defaultRowHeight="14.25"/>
  <cols>
    <col min="1" max="1" width="11.2" customWidth="1"/>
  </cols>
  <sheetData>
    <row r="1" ht="22.5" spans="1:13">
      <c r="A1" s="70" t="s">
        <v>0</v>
      </c>
      <c r="B1" s="71" t="s">
        <v>434</v>
      </c>
      <c r="C1" s="72"/>
      <c r="D1" s="73"/>
      <c r="E1" s="74">
        <v>5.85</v>
      </c>
      <c r="F1" s="74"/>
      <c r="L1" t="str" cm="1">
        <f t="array" ref="L1:L56">_xlfn.TOCOL(A2:G9)</f>
        <v>赣K91156</v>
      </c>
      <c r="M1" t="s">
        <v>435</v>
      </c>
    </row>
    <row r="2" spans="1:13">
      <c r="A2" s="34" t="s">
        <v>435</v>
      </c>
      <c r="B2" s="75" t="s">
        <v>436</v>
      </c>
      <c r="C2" s="45" t="s">
        <v>437</v>
      </c>
      <c r="D2" s="45" t="s">
        <v>438</v>
      </c>
      <c r="E2" s="34" t="s">
        <v>439</v>
      </c>
      <c r="F2" s="34" t="s">
        <v>440</v>
      </c>
      <c r="G2" s="8"/>
      <c r="L2" t="str">
        <v>赣K96889</v>
      </c>
      <c r="M2" t="s">
        <v>436</v>
      </c>
    </row>
    <row r="3" spans="1:13">
      <c r="A3" s="13"/>
      <c r="B3" s="8"/>
      <c r="C3" s="8"/>
      <c r="D3" s="8"/>
      <c r="E3" s="8"/>
      <c r="F3" s="8"/>
      <c r="G3" s="8"/>
      <c r="L3" t="str">
        <v>赣K90760</v>
      </c>
      <c r="M3" t="s">
        <v>437</v>
      </c>
    </row>
    <row r="4" spans="1:13">
      <c r="A4" s="13"/>
      <c r="B4" s="8"/>
      <c r="C4" s="75"/>
      <c r="D4" s="45"/>
      <c r="E4" s="13"/>
      <c r="F4" s="13"/>
      <c r="G4" s="8"/>
      <c r="L4" t="str">
        <v>鄂S277B2</v>
      </c>
      <c r="M4" t="s">
        <v>438</v>
      </c>
    </row>
    <row r="5" spans="1:13">
      <c r="A5" s="13"/>
      <c r="B5" s="45"/>
      <c r="C5" s="56"/>
      <c r="D5" s="45"/>
      <c r="E5" s="45"/>
      <c r="F5" s="45"/>
      <c r="G5" s="8"/>
      <c r="L5" t="str">
        <v>渝DN0872</v>
      </c>
      <c r="M5" t="s">
        <v>439</v>
      </c>
    </row>
    <row r="6" spans="1:13">
      <c r="A6" s="13"/>
      <c r="B6" s="45"/>
      <c r="C6" s="56"/>
      <c r="D6" s="45"/>
      <c r="E6" s="45"/>
      <c r="F6" s="45"/>
      <c r="G6" s="8"/>
      <c r="L6" t="str">
        <v>粤DE853H</v>
      </c>
      <c r="M6" t="s">
        <v>440</v>
      </c>
    </row>
    <row r="7" spans="1:12">
      <c r="A7" s="13"/>
      <c r="B7" s="45"/>
      <c r="C7" s="56"/>
      <c r="D7" s="34"/>
      <c r="E7" s="45"/>
      <c r="F7" s="45"/>
      <c r="G7" s="8"/>
      <c r="L7">
        <v>0</v>
      </c>
    </row>
    <row r="8" spans="1:12">
      <c r="A8" s="13"/>
      <c r="B8" s="45"/>
      <c r="C8" s="56"/>
      <c r="D8" s="45"/>
      <c r="E8" s="45"/>
      <c r="F8" s="45"/>
      <c r="G8" s="8"/>
      <c r="L8">
        <v>0</v>
      </c>
    </row>
    <row r="9" spans="1:12">
      <c r="A9" s="13"/>
      <c r="B9" s="45"/>
      <c r="C9" s="56"/>
      <c r="D9" s="45"/>
      <c r="E9" s="34"/>
      <c r="F9" s="34"/>
      <c r="G9" s="8"/>
      <c r="L9">
        <v>0</v>
      </c>
    </row>
    <row r="10" spans="12:12">
      <c r="L10">
        <v>0</v>
      </c>
    </row>
    <row r="11" spans="1:12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22">
        <v>45929</v>
      </c>
      <c r="B12" s="23" t="s">
        <v>441</v>
      </c>
      <c r="C12" s="23">
        <v>200</v>
      </c>
      <c r="D12" s="8">
        <v>5.85</v>
      </c>
      <c r="E12" s="8">
        <f t="shared" ref="E12:E17" si="0">INT(C12*D12)</f>
        <v>1170</v>
      </c>
      <c r="L12">
        <v>0</v>
      </c>
    </row>
    <row r="13" spans="1:12">
      <c r="A13" s="22">
        <v>45930</v>
      </c>
      <c r="B13" s="23" t="s">
        <v>442</v>
      </c>
      <c r="C13" s="23">
        <v>300</v>
      </c>
      <c r="D13" s="8">
        <v>5.85</v>
      </c>
      <c r="E13" s="8">
        <f t="shared" si="0"/>
        <v>1755</v>
      </c>
      <c r="L13">
        <v>0</v>
      </c>
    </row>
    <row r="14" spans="1:12">
      <c r="A14" s="22">
        <v>45932</v>
      </c>
      <c r="B14" s="23" t="s">
        <v>443</v>
      </c>
      <c r="C14" s="23">
        <v>200</v>
      </c>
      <c r="D14" s="8">
        <v>5.85</v>
      </c>
      <c r="E14" s="8">
        <f t="shared" si="0"/>
        <v>1170</v>
      </c>
      <c r="L14">
        <v>0</v>
      </c>
    </row>
    <row r="15" spans="1:12">
      <c r="A15" s="22">
        <v>45933</v>
      </c>
      <c r="B15" s="23" t="s">
        <v>441</v>
      </c>
      <c r="C15" s="23">
        <v>400</v>
      </c>
      <c r="D15" s="8">
        <v>5.85</v>
      </c>
      <c r="E15" s="8">
        <f t="shared" si="0"/>
        <v>2340</v>
      </c>
      <c r="L15">
        <v>0</v>
      </c>
    </row>
    <row r="16" spans="1:12">
      <c r="A16" s="22">
        <v>45934</v>
      </c>
      <c r="B16" s="23" t="s">
        <v>442</v>
      </c>
      <c r="C16" s="23">
        <v>400</v>
      </c>
      <c r="D16" s="8">
        <v>5.85</v>
      </c>
      <c r="E16" s="8">
        <f t="shared" si="0"/>
        <v>2340</v>
      </c>
      <c r="L16">
        <v>0</v>
      </c>
    </row>
    <row r="17" spans="1:12">
      <c r="A17" s="22">
        <v>45934</v>
      </c>
      <c r="B17" s="23" t="s">
        <v>443</v>
      </c>
      <c r="C17" s="23">
        <v>200</v>
      </c>
      <c r="D17" s="8">
        <v>5.85</v>
      </c>
      <c r="E17" s="8">
        <f t="shared" si="0"/>
        <v>1170</v>
      </c>
      <c r="L17">
        <v>0</v>
      </c>
    </row>
    <row r="18" spans="4:12">
      <c r="D18" s="8"/>
      <c r="E18" s="8"/>
      <c r="F18">
        <f>SUM(E14:E17)</f>
        <v>7020</v>
      </c>
      <c r="L18">
        <v>0</v>
      </c>
    </row>
    <row r="19" spans="1:12">
      <c r="A19" s="22">
        <v>45938</v>
      </c>
      <c r="B19" s="23" t="s">
        <v>441</v>
      </c>
      <c r="C19" s="23">
        <v>500</v>
      </c>
      <c r="D19" s="8">
        <v>5.85</v>
      </c>
      <c r="E19" s="8">
        <f t="shared" ref="E19:E25" si="1">INT(C19*D19)</f>
        <v>2925</v>
      </c>
      <c r="L19">
        <v>0</v>
      </c>
    </row>
    <row r="20" spans="1:12">
      <c r="A20" s="22">
        <v>45938</v>
      </c>
      <c r="B20" s="23" t="s">
        <v>442</v>
      </c>
      <c r="C20" s="23">
        <v>700</v>
      </c>
      <c r="D20" s="8">
        <v>5.85</v>
      </c>
      <c r="E20" s="8">
        <f t="shared" si="1"/>
        <v>4095</v>
      </c>
      <c r="L20">
        <v>0</v>
      </c>
    </row>
    <row r="21" spans="1:12">
      <c r="A21" s="22">
        <v>45938</v>
      </c>
      <c r="B21" s="23" t="s">
        <v>443</v>
      </c>
      <c r="C21" s="23">
        <v>400</v>
      </c>
      <c r="D21" s="8">
        <v>5.85</v>
      </c>
      <c r="E21" s="8">
        <f t="shared" si="1"/>
        <v>2340</v>
      </c>
      <c r="L21">
        <v>0</v>
      </c>
    </row>
    <row r="22" spans="5:12">
      <c r="E22" s="8">
        <f t="shared" si="1"/>
        <v>0</v>
      </c>
      <c r="F22">
        <f>SUM(E19:E21)</f>
        <v>9360</v>
      </c>
      <c r="L22">
        <v>0</v>
      </c>
    </row>
    <row r="23" spans="1:12">
      <c r="A23" s="22">
        <v>45941</v>
      </c>
      <c r="B23" s="23" t="s">
        <v>440</v>
      </c>
      <c r="C23" s="23">
        <v>500.01</v>
      </c>
      <c r="D23" s="8">
        <v>5.75</v>
      </c>
      <c r="E23" s="8">
        <f t="shared" si="1"/>
        <v>2875</v>
      </c>
      <c r="L23">
        <v>0</v>
      </c>
    </row>
    <row r="24" spans="1:12">
      <c r="A24" s="22">
        <v>45942</v>
      </c>
      <c r="B24" s="23" t="s">
        <v>435</v>
      </c>
      <c r="C24" s="23">
        <v>350</v>
      </c>
      <c r="D24" s="8">
        <v>5.75</v>
      </c>
      <c r="E24" s="8">
        <f t="shared" si="1"/>
        <v>2012</v>
      </c>
      <c r="L24">
        <v>0</v>
      </c>
    </row>
    <row r="25" spans="1:12">
      <c r="A25" s="22">
        <v>45942</v>
      </c>
      <c r="B25" s="23" t="s">
        <v>438</v>
      </c>
      <c r="C25" s="23">
        <v>200</v>
      </c>
      <c r="D25" s="8">
        <v>5.75</v>
      </c>
      <c r="E25" s="8">
        <f t="shared" si="1"/>
        <v>1150</v>
      </c>
      <c r="L25">
        <v>0</v>
      </c>
    </row>
    <row r="26" spans="5:12">
      <c r="E26">
        <f>SUM(E23:E25)</f>
        <v>6037</v>
      </c>
      <c r="L26">
        <v>0</v>
      </c>
    </row>
    <row r="27" spans="12:12">
      <c r="L27">
        <v>0</v>
      </c>
    </row>
    <row r="28" spans="12:12">
      <c r="L28">
        <v>0</v>
      </c>
    </row>
    <row r="29" spans="12:12">
      <c r="L29">
        <v>0</v>
      </c>
    </row>
    <row r="30" spans="12:12"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M56"/>
  <sheetViews>
    <sheetView topLeftCell="A15" workbookViewId="0">
      <selection activeCell="A31" sqref="A31:E35"/>
    </sheetView>
  </sheetViews>
  <sheetFormatPr defaultColWidth="9" defaultRowHeight="14.25"/>
  <cols>
    <col min="1" max="1" width="10.0666666666667" customWidth="1"/>
  </cols>
  <sheetData>
    <row r="1" ht="22.5" spans="1:13">
      <c r="A1" s="78" t="s">
        <v>0</v>
      </c>
      <c r="B1" s="39" t="s">
        <v>444</v>
      </c>
      <c r="C1" s="53"/>
      <c r="D1" s="5"/>
      <c r="E1" s="26" t="s">
        <v>2</v>
      </c>
      <c r="F1" s="8"/>
      <c r="G1" s="44"/>
      <c r="H1" s="44"/>
      <c r="L1" t="str" cm="1">
        <f t="array" ref="L1:L56">_xlfn.TOCOL(A2:G9)</f>
        <v>粤N12662</v>
      </c>
      <c r="M1" t="s">
        <v>445</v>
      </c>
    </row>
    <row r="2" spans="1:13">
      <c r="A2" s="34" t="s">
        <v>445</v>
      </c>
      <c r="B2" s="75" t="s">
        <v>446</v>
      </c>
      <c r="C2" s="45" t="s">
        <v>447</v>
      </c>
      <c r="D2" s="45" t="s">
        <v>448</v>
      </c>
      <c r="E2" s="34" t="s">
        <v>449</v>
      </c>
      <c r="F2" s="34" t="s">
        <v>450</v>
      </c>
      <c r="G2" s="75" t="s">
        <v>451</v>
      </c>
      <c r="H2" s="46"/>
      <c r="L2" t="str">
        <v>赣KA2123</v>
      </c>
      <c r="M2" t="s">
        <v>446</v>
      </c>
    </row>
    <row r="3" spans="1:13">
      <c r="A3" s="13"/>
      <c r="B3" s="8"/>
      <c r="C3" s="8"/>
      <c r="D3" s="8"/>
      <c r="E3" s="8"/>
      <c r="F3" s="8"/>
      <c r="G3" s="8"/>
      <c r="H3" s="46"/>
      <c r="L3" t="str">
        <v>赣K62008</v>
      </c>
      <c r="M3" t="s">
        <v>447</v>
      </c>
    </row>
    <row r="4" spans="1:13">
      <c r="A4" s="13"/>
      <c r="B4" s="8"/>
      <c r="C4" s="8"/>
      <c r="D4" s="45"/>
      <c r="E4" s="13"/>
      <c r="F4" s="13"/>
      <c r="G4" s="13"/>
      <c r="H4" s="46"/>
      <c r="L4" t="str">
        <v>赣K61097</v>
      </c>
      <c r="M4" t="s">
        <v>448</v>
      </c>
    </row>
    <row r="5" spans="1:13">
      <c r="A5" s="13"/>
      <c r="B5" s="45"/>
      <c r="C5" s="56"/>
      <c r="D5" s="45"/>
      <c r="E5" s="45"/>
      <c r="F5" s="45"/>
      <c r="G5" s="13"/>
      <c r="H5" s="46"/>
      <c r="L5" t="str">
        <v>赣K85298</v>
      </c>
      <c r="M5" t="s">
        <v>449</v>
      </c>
    </row>
    <row r="6" spans="1:13">
      <c r="A6" s="13"/>
      <c r="B6" s="45"/>
      <c r="C6" s="56"/>
      <c r="D6" s="45"/>
      <c r="E6" s="45"/>
      <c r="F6" s="45"/>
      <c r="G6" s="13"/>
      <c r="H6" s="46"/>
      <c r="L6" t="str">
        <v>赣K16896</v>
      </c>
      <c r="M6" t="s">
        <v>450</v>
      </c>
    </row>
    <row r="7" spans="1:13">
      <c r="A7" s="13"/>
      <c r="B7" s="45"/>
      <c r="C7" s="56"/>
      <c r="D7" s="34"/>
      <c r="E7" s="45"/>
      <c r="F7" s="45"/>
      <c r="G7" s="13"/>
      <c r="H7" s="46"/>
      <c r="L7" t="str">
        <v>粤VC7032</v>
      </c>
      <c r="M7" t="s">
        <v>451</v>
      </c>
    </row>
    <row r="8" spans="1:12">
      <c r="A8" s="13"/>
      <c r="B8" s="45"/>
      <c r="C8" s="56"/>
      <c r="D8" s="45"/>
      <c r="E8" s="45"/>
      <c r="F8" s="45"/>
      <c r="G8" s="13"/>
      <c r="H8" s="46"/>
      <c r="L8">
        <v>0</v>
      </c>
    </row>
    <row r="9" spans="1:12">
      <c r="A9" s="13"/>
      <c r="B9" s="45"/>
      <c r="C9" s="56"/>
      <c r="D9" s="45"/>
      <c r="E9" s="34"/>
      <c r="F9" s="34"/>
      <c r="G9" s="13"/>
      <c r="H9" s="46"/>
      <c r="L9">
        <v>0</v>
      </c>
    </row>
    <row r="10" spans="12:12">
      <c r="L10">
        <v>0</v>
      </c>
    </row>
    <row r="11" spans="1:12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35">
        <v>45925</v>
      </c>
      <c r="B12" s="36" t="s">
        <v>452</v>
      </c>
      <c r="C12" s="36">
        <v>127.53</v>
      </c>
      <c r="D12" s="8" t="str">
        <f>IF(C12&gt;=200,"5.75",IF(C12&lt;200,"5.95"))</f>
        <v>5.95</v>
      </c>
      <c r="E12" s="8">
        <f t="shared" ref="E12:E22" si="0">INT(C12*D12)</f>
        <v>758</v>
      </c>
      <c r="L12">
        <v>0</v>
      </c>
    </row>
    <row r="13" spans="1:12">
      <c r="A13" s="22">
        <v>45926</v>
      </c>
      <c r="B13" s="23" t="s">
        <v>453</v>
      </c>
      <c r="C13" s="23">
        <v>437.32</v>
      </c>
      <c r="D13" s="8" t="str">
        <f>IF(C13&gt;=200,"5.75",IF(C13&lt;200,"5.95"))</f>
        <v>5.75</v>
      </c>
      <c r="E13" s="8">
        <f t="shared" si="0"/>
        <v>2514</v>
      </c>
      <c r="L13">
        <v>0</v>
      </c>
    </row>
    <row r="14" spans="1:12">
      <c r="A14" s="22">
        <v>45926</v>
      </c>
      <c r="B14" s="23" t="s">
        <v>454</v>
      </c>
      <c r="C14" s="23">
        <v>87.35</v>
      </c>
      <c r="D14" s="8" t="str">
        <f>IF(C14&gt;=200,"5.75",IF(C14&lt;200,"5.95"))</f>
        <v>5.95</v>
      </c>
      <c r="E14" s="8">
        <f t="shared" si="0"/>
        <v>519</v>
      </c>
      <c r="L14">
        <v>0</v>
      </c>
    </row>
    <row r="15" spans="1:12">
      <c r="A15" s="22">
        <v>45926</v>
      </c>
      <c r="B15" s="23" t="s">
        <v>455</v>
      </c>
      <c r="C15" s="23">
        <v>135.7</v>
      </c>
      <c r="D15" s="8" t="str">
        <f>IF(C15&gt;=200,"5.75",IF(C15&lt;200,"5.95"))</f>
        <v>5.95</v>
      </c>
      <c r="E15" s="8">
        <f t="shared" si="0"/>
        <v>807</v>
      </c>
      <c r="L15">
        <v>0</v>
      </c>
    </row>
    <row r="16" spans="1:12">
      <c r="A16" s="22">
        <v>45927</v>
      </c>
      <c r="B16" s="23" t="s">
        <v>454</v>
      </c>
      <c r="C16" s="23">
        <v>59.18</v>
      </c>
      <c r="D16" s="8" t="str">
        <f>IF(C16&gt;=200,"5.75",IF(C16&lt;200,"5.95"))</f>
        <v>5.95</v>
      </c>
      <c r="E16" s="8">
        <f t="shared" si="0"/>
        <v>352</v>
      </c>
      <c r="L16">
        <v>0</v>
      </c>
    </row>
    <row r="17" spans="1:12">
      <c r="A17" s="22">
        <v>45929</v>
      </c>
      <c r="B17" s="23" t="s">
        <v>454</v>
      </c>
      <c r="C17" s="23">
        <v>237.93</v>
      </c>
      <c r="D17" s="8" t="str">
        <f t="shared" ref="D17:D22" si="1">IF(C17&gt;=200,"5.85",IF(C17&lt;200,"5.95"))</f>
        <v>5.85</v>
      </c>
      <c r="E17" s="8">
        <f t="shared" si="0"/>
        <v>1391</v>
      </c>
      <c r="L17">
        <v>0</v>
      </c>
    </row>
    <row r="18" spans="1:12">
      <c r="A18" s="22">
        <v>45930</v>
      </c>
      <c r="B18" s="23" t="s">
        <v>456</v>
      </c>
      <c r="C18" s="23">
        <v>84.96</v>
      </c>
      <c r="D18" s="8" t="str">
        <f t="shared" si="1"/>
        <v>5.95</v>
      </c>
      <c r="E18" s="8">
        <f t="shared" si="0"/>
        <v>505</v>
      </c>
      <c r="L18">
        <v>0</v>
      </c>
    </row>
    <row r="19" spans="1:12">
      <c r="A19" s="22">
        <v>45931</v>
      </c>
      <c r="B19" s="23" t="s">
        <v>454</v>
      </c>
      <c r="C19" s="23">
        <v>81.49</v>
      </c>
      <c r="D19" s="8" t="str">
        <f t="shared" si="1"/>
        <v>5.95</v>
      </c>
      <c r="E19" s="8">
        <f t="shared" si="0"/>
        <v>484</v>
      </c>
      <c r="L19">
        <v>0</v>
      </c>
    </row>
    <row r="20" spans="1:12">
      <c r="A20" s="22">
        <v>45933</v>
      </c>
      <c r="B20" s="23" t="s">
        <v>455</v>
      </c>
      <c r="C20" s="23">
        <v>130.13</v>
      </c>
      <c r="D20" s="8" t="str">
        <f t="shared" si="1"/>
        <v>5.95</v>
      </c>
      <c r="E20" s="8">
        <f t="shared" si="0"/>
        <v>774</v>
      </c>
      <c r="L20">
        <v>0</v>
      </c>
    </row>
    <row r="21" spans="1:12">
      <c r="A21" s="22">
        <v>45933</v>
      </c>
      <c r="B21" s="23" t="s">
        <v>454</v>
      </c>
      <c r="C21" s="23">
        <v>98.09</v>
      </c>
      <c r="D21" s="8" t="str">
        <f t="shared" si="1"/>
        <v>5.95</v>
      </c>
      <c r="E21" s="8">
        <f t="shared" si="0"/>
        <v>583</v>
      </c>
      <c r="L21">
        <v>0</v>
      </c>
    </row>
    <row r="22" spans="1:12">
      <c r="A22" s="22">
        <v>45934</v>
      </c>
      <c r="B22" s="23" t="s">
        <v>456</v>
      </c>
      <c r="C22" s="23">
        <v>101.2</v>
      </c>
      <c r="D22" s="8" t="str">
        <f t="shared" si="1"/>
        <v>5.95</v>
      </c>
      <c r="E22" s="8">
        <f t="shared" si="0"/>
        <v>602</v>
      </c>
      <c r="L22">
        <v>0</v>
      </c>
    </row>
    <row r="23" spans="4:12">
      <c r="D23" s="8"/>
      <c r="E23" s="8"/>
      <c r="F23">
        <f>SUM(E20:E22)</f>
        <v>1959</v>
      </c>
      <c r="L23">
        <v>0</v>
      </c>
    </row>
    <row r="24" spans="1:12">
      <c r="A24" s="22">
        <v>45935</v>
      </c>
      <c r="B24" s="23" t="s">
        <v>457</v>
      </c>
      <c r="C24" s="23">
        <v>240.01</v>
      </c>
      <c r="D24" s="8" t="str">
        <f t="shared" ref="D23:D29" si="2">IF(C24&gt;=200,"5.85",IF(C24&lt;200,"5.95"))</f>
        <v>5.85</v>
      </c>
      <c r="E24" s="8">
        <f t="shared" ref="E23:E34" si="3">INT(C24*D24)</f>
        <v>1404</v>
      </c>
      <c r="L24">
        <v>0</v>
      </c>
    </row>
    <row r="25" spans="1:12">
      <c r="A25" s="22">
        <v>45935</v>
      </c>
      <c r="B25" s="23" t="s">
        <v>454</v>
      </c>
      <c r="C25" s="23">
        <v>86.63</v>
      </c>
      <c r="D25" s="8" t="str">
        <f t="shared" si="2"/>
        <v>5.95</v>
      </c>
      <c r="E25" s="8">
        <f t="shared" si="3"/>
        <v>515</v>
      </c>
      <c r="L25">
        <v>0</v>
      </c>
    </row>
    <row r="26" spans="1:12">
      <c r="A26" s="22">
        <v>45935</v>
      </c>
      <c r="B26" s="23" t="s">
        <v>453</v>
      </c>
      <c r="C26" s="23">
        <v>155.9</v>
      </c>
      <c r="D26" s="8" t="str">
        <f t="shared" si="2"/>
        <v>5.95</v>
      </c>
      <c r="E26" s="8">
        <f t="shared" si="3"/>
        <v>927</v>
      </c>
      <c r="L26">
        <v>0</v>
      </c>
    </row>
    <row r="27" spans="1:12">
      <c r="A27" s="22">
        <v>45936</v>
      </c>
      <c r="B27" s="23" t="s">
        <v>458</v>
      </c>
      <c r="C27" s="23">
        <v>143.27</v>
      </c>
      <c r="D27" s="8" t="str">
        <f t="shared" si="2"/>
        <v>5.95</v>
      </c>
      <c r="E27" s="8">
        <f t="shared" si="3"/>
        <v>852</v>
      </c>
      <c r="L27">
        <v>0</v>
      </c>
    </row>
    <row r="28" spans="1:12">
      <c r="A28" s="22">
        <v>45938</v>
      </c>
      <c r="B28" s="23" t="s">
        <v>454</v>
      </c>
      <c r="C28" s="23">
        <v>228.36</v>
      </c>
      <c r="D28" s="8" t="str">
        <f t="shared" si="2"/>
        <v>5.85</v>
      </c>
      <c r="E28" s="8">
        <f t="shared" si="3"/>
        <v>1335</v>
      </c>
      <c r="L28">
        <v>0</v>
      </c>
    </row>
    <row r="29" spans="1:12">
      <c r="A29" s="22">
        <v>45940</v>
      </c>
      <c r="B29" s="23" t="s">
        <v>454</v>
      </c>
      <c r="C29" s="23">
        <v>80.52</v>
      </c>
      <c r="D29" s="8" t="str">
        <f t="shared" si="2"/>
        <v>5.95</v>
      </c>
      <c r="E29" s="8">
        <f t="shared" si="3"/>
        <v>479</v>
      </c>
      <c r="L29">
        <v>0</v>
      </c>
    </row>
    <row r="30" spans="4:12">
      <c r="D30" s="8"/>
      <c r="E30" s="8">
        <f t="shared" si="3"/>
        <v>0</v>
      </c>
      <c r="F30">
        <f>SUM(E24:E29)</f>
        <v>5512</v>
      </c>
      <c r="L30">
        <v>0</v>
      </c>
    </row>
    <row r="31" spans="1:12">
      <c r="A31" s="22">
        <v>45942</v>
      </c>
      <c r="B31" s="23" t="s">
        <v>447</v>
      </c>
      <c r="C31" s="23">
        <v>78.72</v>
      </c>
      <c r="D31" s="8" t="str">
        <f>IF(C31&gt;=200,"5.85",IF(C31&lt;200,"5.95"))</f>
        <v>5.95</v>
      </c>
      <c r="E31" s="8">
        <f t="shared" si="3"/>
        <v>468</v>
      </c>
      <c r="L31">
        <v>0</v>
      </c>
    </row>
    <row r="32" spans="1:12">
      <c r="A32" s="22">
        <v>45943</v>
      </c>
      <c r="B32" s="23" t="s">
        <v>450</v>
      </c>
      <c r="C32" s="23">
        <v>101.63</v>
      </c>
      <c r="D32" s="8" t="str">
        <f>IF(C32&gt;=200,"5.85",IF(C32&lt;200,"5.95"))</f>
        <v>5.95</v>
      </c>
      <c r="E32" s="8">
        <f t="shared" si="3"/>
        <v>604</v>
      </c>
      <c r="L32">
        <v>0</v>
      </c>
    </row>
    <row r="33" spans="1:12">
      <c r="A33" s="22">
        <v>45943</v>
      </c>
      <c r="B33" s="23" t="s">
        <v>445</v>
      </c>
      <c r="C33" s="23">
        <v>125.92</v>
      </c>
      <c r="D33" s="8" t="str">
        <f>IF(C33&gt;=200,"5.85",IF(C33&lt;200,"5.95"))</f>
        <v>5.95</v>
      </c>
      <c r="E33" s="8">
        <f t="shared" si="3"/>
        <v>749</v>
      </c>
      <c r="L33">
        <v>0</v>
      </c>
    </row>
    <row r="34" spans="1:12">
      <c r="A34" s="22">
        <v>45943</v>
      </c>
      <c r="B34" s="23" t="s">
        <v>448</v>
      </c>
      <c r="C34" s="23">
        <v>138.27</v>
      </c>
      <c r="D34" s="8" t="str">
        <f>IF(C34&gt;=200,"5.85",IF(C34&lt;200,"5.95"))</f>
        <v>5.95</v>
      </c>
      <c r="E34" s="8">
        <f t="shared" si="3"/>
        <v>822</v>
      </c>
      <c r="L34">
        <v>0</v>
      </c>
    </row>
    <row r="35" spans="5:12">
      <c r="E35">
        <f>SUM(E31:E34)</f>
        <v>2643</v>
      </c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conditionalFormatting sqref="D4:F4 A2:G2">
    <cfRule type="duplicateValues" dxfId="1" priority="1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L57"/>
  <sheetViews>
    <sheetView workbookViewId="0">
      <selection activeCell="D12" sqref="D12"/>
    </sheetView>
  </sheetViews>
  <sheetFormatPr defaultColWidth="9" defaultRowHeight="14.25"/>
  <sheetData>
    <row r="1" ht="22.5" spans="1:8">
      <c r="A1" s="78" t="s">
        <v>0</v>
      </c>
      <c r="B1" s="39" t="s">
        <v>459</v>
      </c>
      <c r="C1" s="53"/>
      <c r="D1" s="5"/>
      <c r="E1" s="42">
        <v>5.85</v>
      </c>
      <c r="F1" s="42"/>
      <c r="G1" s="79"/>
      <c r="H1" s="80"/>
    </row>
    <row r="2" spans="1:12">
      <c r="A2" s="34" t="s">
        <v>460</v>
      </c>
      <c r="B2" s="75" t="s">
        <v>461</v>
      </c>
      <c r="C2" s="45" t="s">
        <v>462</v>
      </c>
      <c r="D2" s="13"/>
      <c r="E2" s="13"/>
      <c r="F2" s="13"/>
      <c r="G2" s="13"/>
      <c r="H2" s="46"/>
      <c r="K2" t="str" cm="1">
        <f t="array" ref="K2:K57">_xlfn.TOCOL(A2:G9)</f>
        <v>粤UU6233</v>
      </c>
      <c r="L2" t="s">
        <v>460</v>
      </c>
    </row>
    <row r="3" spans="1:12">
      <c r="A3" s="13"/>
      <c r="B3" s="8"/>
      <c r="C3" s="8"/>
      <c r="D3" s="8"/>
      <c r="E3" s="45"/>
      <c r="F3" s="34"/>
      <c r="G3" s="13"/>
      <c r="H3" s="46"/>
      <c r="K3" t="str">
        <v>赣C2296D</v>
      </c>
      <c r="L3" t="s">
        <v>461</v>
      </c>
    </row>
    <row r="4" spans="1:12">
      <c r="A4" s="13"/>
      <c r="B4" s="34"/>
      <c r="C4" s="75"/>
      <c r="D4" s="45"/>
      <c r="E4" s="13"/>
      <c r="F4" s="13"/>
      <c r="G4" s="13"/>
      <c r="H4" s="46"/>
      <c r="K4" t="str">
        <v>湘ER0378</v>
      </c>
      <c r="L4" t="s">
        <v>462</v>
      </c>
    </row>
    <row r="5" spans="1:11">
      <c r="A5" s="13"/>
      <c r="B5" s="45"/>
      <c r="C5" s="56"/>
      <c r="D5" s="45"/>
      <c r="E5" s="45"/>
      <c r="F5" s="45"/>
      <c r="G5" s="13"/>
      <c r="H5" s="46"/>
      <c r="K5">
        <v>0</v>
      </c>
    </row>
    <row r="6" spans="1:11">
      <c r="A6" s="13"/>
      <c r="B6" s="45"/>
      <c r="C6" s="56"/>
      <c r="D6" s="45"/>
      <c r="E6" s="45"/>
      <c r="F6" s="45"/>
      <c r="G6" s="13"/>
      <c r="H6" s="46"/>
      <c r="K6">
        <v>0</v>
      </c>
    </row>
    <row r="7" spans="1:11">
      <c r="A7" s="13"/>
      <c r="B7" s="45"/>
      <c r="C7" s="56"/>
      <c r="D7" s="34"/>
      <c r="E7" s="45"/>
      <c r="F7" s="45"/>
      <c r="G7" s="13"/>
      <c r="H7" s="46"/>
      <c r="K7">
        <v>0</v>
      </c>
    </row>
    <row r="8" spans="1:11">
      <c r="A8" s="13"/>
      <c r="B8" s="45"/>
      <c r="C8" s="56"/>
      <c r="D8" s="45"/>
      <c r="E8" s="45"/>
      <c r="F8" s="45"/>
      <c r="G8" s="13"/>
      <c r="H8" s="46"/>
      <c r="K8">
        <v>0</v>
      </c>
    </row>
    <row r="9" spans="1:11">
      <c r="A9" s="13"/>
      <c r="B9" s="45"/>
      <c r="C9" s="56"/>
      <c r="D9" s="45"/>
      <c r="E9" s="34"/>
      <c r="F9" s="34"/>
      <c r="G9" s="13"/>
      <c r="H9" s="46"/>
      <c r="K9">
        <v>0</v>
      </c>
    </row>
    <row r="10" spans="11:11">
      <c r="K10">
        <v>0</v>
      </c>
    </row>
    <row r="11" spans="1:11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K11">
        <v>0</v>
      </c>
    </row>
    <row r="12" spans="4:11">
      <c r="D12" s="8">
        <v>5.75</v>
      </c>
      <c r="E12" s="8">
        <f>INT(C12*D12)</f>
        <v>0</v>
      </c>
      <c r="K12">
        <v>0</v>
      </c>
    </row>
    <row r="13" spans="11:11">
      <c r="K13">
        <v>0</v>
      </c>
    </row>
    <row r="14" spans="11:11">
      <c r="K14">
        <v>0</v>
      </c>
    </row>
    <row r="15" spans="11:11">
      <c r="K15">
        <v>0</v>
      </c>
    </row>
    <row r="16" spans="11:11">
      <c r="K16">
        <v>0</v>
      </c>
    </row>
    <row r="17" spans="11:11">
      <c r="K17">
        <v>0</v>
      </c>
    </row>
    <row r="18" spans="11:11">
      <c r="K18">
        <v>0</v>
      </c>
    </row>
    <row r="19" spans="11:11">
      <c r="K19">
        <v>0</v>
      </c>
    </row>
    <row r="20" spans="11:11">
      <c r="K20">
        <v>0</v>
      </c>
    </row>
    <row r="21" spans="11:11">
      <c r="K21">
        <v>0</v>
      </c>
    </row>
    <row r="22" spans="11:11">
      <c r="K22">
        <v>0</v>
      </c>
    </row>
    <row r="23" spans="11:11">
      <c r="K23">
        <v>0</v>
      </c>
    </row>
    <row r="24" spans="11:11">
      <c r="K24">
        <v>0</v>
      </c>
    </row>
    <row r="25" spans="11:11">
      <c r="K25">
        <v>0</v>
      </c>
    </row>
    <row r="26" spans="11:11">
      <c r="K26">
        <v>0</v>
      </c>
    </row>
    <row r="27" spans="11:11">
      <c r="K27">
        <v>0</v>
      </c>
    </row>
    <row r="28" spans="11:11">
      <c r="K28">
        <v>0</v>
      </c>
    </row>
    <row r="29" spans="11:11">
      <c r="K29">
        <v>0</v>
      </c>
    </row>
    <row r="30" spans="11:11">
      <c r="K30">
        <v>0</v>
      </c>
    </row>
    <row r="31" spans="11:11">
      <c r="K31">
        <v>0</v>
      </c>
    </row>
    <row r="32" spans="11:11">
      <c r="K32">
        <v>0</v>
      </c>
    </row>
    <row r="33" spans="11:11">
      <c r="K33">
        <v>0</v>
      </c>
    </row>
    <row r="34" spans="11:11">
      <c r="K34">
        <v>0</v>
      </c>
    </row>
    <row r="35" spans="11:11">
      <c r="K35">
        <v>0</v>
      </c>
    </row>
    <row r="36" spans="11:11">
      <c r="K36">
        <v>0</v>
      </c>
    </row>
    <row r="37" spans="11:11">
      <c r="K37">
        <v>0</v>
      </c>
    </row>
    <row r="38" spans="11:11">
      <c r="K38">
        <v>0</v>
      </c>
    </row>
    <row r="39" spans="11:11">
      <c r="K39">
        <v>0</v>
      </c>
    </row>
    <row r="40" spans="11:11">
      <c r="K40">
        <v>0</v>
      </c>
    </row>
    <row r="41" spans="11:11">
      <c r="K41">
        <v>0</v>
      </c>
    </row>
    <row r="42" spans="11:11">
      <c r="K42">
        <v>0</v>
      </c>
    </row>
    <row r="43" spans="11:11">
      <c r="K43">
        <v>0</v>
      </c>
    </row>
    <row r="44" spans="11:11">
      <c r="K44">
        <v>0</v>
      </c>
    </row>
    <row r="45" spans="11:11">
      <c r="K45">
        <v>0</v>
      </c>
    </row>
    <row r="46" spans="11:11">
      <c r="K46">
        <v>0</v>
      </c>
    </row>
    <row r="47" spans="11:11">
      <c r="K47">
        <v>0</v>
      </c>
    </row>
    <row r="48" spans="11:11">
      <c r="K48">
        <v>0</v>
      </c>
    </row>
    <row r="49" spans="11:11">
      <c r="K49">
        <v>0</v>
      </c>
    </row>
    <row r="50" spans="11:11">
      <c r="K50">
        <v>0</v>
      </c>
    </row>
    <row r="51" spans="11:11">
      <c r="K51">
        <v>0</v>
      </c>
    </row>
    <row r="52" spans="11:11">
      <c r="K52">
        <v>0</v>
      </c>
    </row>
    <row r="53" spans="11:11">
      <c r="K53">
        <v>0</v>
      </c>
    </row>
    <row r="54" spans="11:11">
      <c r="K54">
        <v>0</v>
      </c>
    </row>
    <row r="55" spans="11:11">
      <c r="K55">
        <v>0</v>
      </c>
    </row>
    <row r="56" spans="11:11">
      <c r="K56">
        <v>0</v>
      </c>
    </row>
    <row r="57" spans="11:11">
      <c r="K57">
        <v>0</v>
      </c>
    </row>
  </sheetData>
  <mergeCells count="1">
    <mergeCell ref="G1:H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M60"/>
  <sheetViews>
    <sheetView topLeftCell="A30" workbookViewId="0">
      <selection activeCell="A50" sqref="A50:E60"/>
    </sheetView>
  </sheetViews>
  <sheetFormatPr defaultColWidth="9" defaultRowHeight="14.25"/>
  <cols>
    <col min="1" max="1" width="10.6" customWidth="1"/>
  </cols>
  <sheetData>
    <row r="1" ht="22.5" spans="1:13">
      <c r="A1" s="70" t="s">
        <v>0</v>
      </c>
      <c r="B1" s="71" t="s">
        <v>463</v>
      </c>
      <c r="C1" s="72"/>
      <c r="D1" s="73"/>
      <c r="E1" s="74">
        <v>5.85</v>
      </c>
      <c r="F1" s="74"/>
      <c r="L1" t="str" cm="1">
        <f t="array" ref="L1:L56">_xlfn.TOCOL(A2:G9)</f>
        <v>粤VW0955</v>
      </c>
      <c r="M1" t="s">
        <v>464</v>
      </c>
    </row>
    <row r="2" spans="1:13">
      <c r="A2" s="34" t="s">
        <v>464</v>
      </c>
      <c r="B2" s="56" t="s">
        <v>465</v>
      </c>
      <c r="C2" s="45" t="s">
        <v>466</v>
      </c>
      <c r="D2" s="45" t="s">
        <v>467</v>
      </c>
      <c r="E2" s="34" t="s">
        <v>468</v>
      </c>
      <c r="F2" s="45" t="s">
        <v>469</v>
      </c>
      <c r="G2" s="45" t="s">
        <v>470</v>
      </c>
      <c r="L2" t="str">
        <v>粤VK2252</v>
      </c>
      <c r="M2" t="s">
        <v>465</v>
      </c>
    </row>
    <row r="3" spans="1:13">
      <c r="A3" s="34" t="s">
        <v>471</v>
      </c>
      <c r="B3" s="75" t="s">
        <v>472</v>
      </c>
      <c r="C3" s="45" t="s">
        <v>473</v>
      </c>
      <c r="D3" s="76" t="s">
        <v>474</v>
      </c>
      <c r="E3" s="76" t="s">
        <v>475</v>
      </c>
      <c r="F3" s="77" t="s">
        <v>476</v>
      </c>
      <c r="G3" s="45" t="s">
        <v>477</v>
      </c>
      <c r="L3" t="str">
        <v>粤V24628</v>
      </c>
      <c r="M3" t="s">
        <v>466</v>
      </c>
    </row>
    <row r="4" spans="1:13">
      <c r="A4" s="45" t="s">
        <v>478</v>
      </c>
      <c r="B4" s="56" t="s">
        <v>479</v>
      </c>
      <c r="C4" s="8"/>
      <c r="D4" s="8"/>
      <c r="E4" s="8"/>
      <c r="F4" s="8"/>
      <c r="G4" s="8"/>
      <c r="L4" t="str">
        <v>粤VA8585</v>
      </c>
      <c r="M4" t="s">
        <v>467</v>
      </c>
    </row>
    <row r="5" spans="1:13">
      <c r="A5" s="8"/>
      <c r="B5" s="56"/>
      <c r="C5" s="45"/>
      <c r="D5" s="45"/>
      <c r="E5" s="45"/>
      <c r="F5" s="8"/>
      <c r="G5" s="8"/>
      <c r="L5" t="str">
        <v>粤VJ1269</v>
      </c>
      <c r="M5" t="s">
        <v>468</v>
      </c>
    </row>
    <row r="6" spans="1:13">
      <c r="A6" s="45"/>
      <c r="B6" s="56"/>
      <c r="C6" s="34"/>
      <c r="D6" s="45"/>
      <c r="E6" s="45"/>
      <c r="F6" s="8"/>
      <c r="G6" s="8"/>
      <c r="L6" t="str">
        <v>粤MY8211</v>
      </c>
      <c r="M6" t="s">
        <v>469</v>
      </c>
    </row>
    <row r="7" spans="1:13">
      <c r="A7" s="13"/>
      <c r="B7" s="8"/>
      <c r="C7" s="8"/>
      <c r="D7" s="8"/>
      <c r="E7" s="8"/>
      <c r="F7" s="8"/>
      <c r="G7" s="8"/>
      <c r="L7" t="str">
        <v>粤VX6523</v>
      </c>
      <c r="M7" t="s">
        <v>470</v>
      </c>
    </row>
    <row r="8" spans="1:13">
      <c r="A8" s="13"/>
      <c r="B8" s="45"/>
      <c r="C8" s="56"/>
      <c r="D8" s="45"/>
      <c r="E8" s="45"/>
      <c r="F8" s="45"/>
      <c r="G8" s="8"/>
      <c r="L8" t="str">
        <v>粤VE3905</v>
      </c>
      <c r="M8" t="s">
        <v>471</v>
      </c>
    </row>
    <row r="9" spans="1:13">
      <c r="A9" s="13"/>
      <c r="B9" s="45"/>
      <c r="C9" s="56"/>
      <c r="D9" s="45"/>
      <c r="E9" s="34"/>
      <c r="F9" s="34"/>
      <c r="G9" s="8"/>
      <c r="L9" t="str">
        <v>闽FC1636</v>
      </c>
      <c r="M9" t="s">
        <v>472</v>
      </c>
    </row>
    <row r="10" spans="12:13">
      <c r="L10" t="str">
        <v>粤VB6549</v>
      </c>
      <c r="M10" t="s">
        <v>473</v>
      </c>
    </row>
    <row r="11" spans="1:13">
      <c r="A11" s="17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 t="str">
        <v>粤V02572</v>
      </c>
      <c r="M11" t="s">
        <v>474</v>
      </c>
    </row>
    <row r="12" spans="1:13">
      <c r="A12" s="22">
        <v>45923</v>
      </c>
      <c r="B12" s="23" t="s">
        <v>480</v>
      </c>
      <c r="C12" s="23">
        <v>129.68</v>
      </c>
      <c r="D12" s="8">
        <v>5.75</v>
      </c>
      <c r="E12" s="8">
        <f>INT(C12*D12)</f>
        <v>745</v>
      </c>
      <c r="L12" t="str">
        <v>粤VX6757</v>
      </c>
      <c r="M12" t="s">
        <v>475</v>
      </c>
    </row>
    <row r="13" spans="1:13">
      <c r="A13" s="22">
        <v>45925</v>
      </c>
      <c r="B13" s="23" t="s">
        <v>481</v>
      </c>
      <c r="C13" s="23">
        <v>147.87</v>
      </c>
      <c r="D13" s="8">
        <v>5.75</v>
      </c>
      <c r="E13" s="8">
        <f>INT(C13*D13)</f>
        <v>850</v>
      </c>
      <c r="L13" t="str">
        <v>粤V60035</v>
      </c>
      <c r="M13" t="s">
        <v>476</v>
      </c>
    </row>
    <row r="14" spans="1:13">
      <c r="A14" s="22">
        <v>45926</v>
      </c>
      <c r="B14" s="23" t="s">
        <v>480</v>
      </c>
      <c r="C14" s="23">
        <v>157.24</v>
      </c>
      <c r="D14" s="8">
        <v>5.75</v>
      </c>
      <c r="E14" s="8">
        <f t="shared" ref="E14:E26" si="0">INT(C14*D14)</f>
        <v>904</v>
      </c>
      <c r="L14" t="str">
        <v>粤VV7982</v>
      </c>
      <c r="M14" t="s">
        <v>477</v>
      </c>
    </row>
    <row r="15" spans="1:13">
      <c r="A15" s="22">
        <v>45927</v>
      </c>
      <c r="B15" s="23" t="s">
        <v>482</v>
      </c>
      <c r="C15" s="23">
        <v>145.65</v>
      </c>
      <c r="D15" s="8">
        <v>5.75</v>
      </c>
      <c r="E15" s="8">
        <f t="shared" si="0"/>
        <v>837</v>
      </c>
      <c r="L15" t="str">
        <v>粤VC2610</v>
      </c>
      <c r="M15" t="s">
        <v>478</v>
      </c>
    </row>
    <row r="16" spans="1:13">
      <c r="A16" s="22">
        <v>45927</v>
      </c>
      <c r="B16" s="23" t="s">
        <v>483</v>
      </c>
      <c r="C16" s="23">
        <v>183.8</v>
      </c>
      <c r="D16" s="8">
        <v>5.75</v>
      </c>
      <c r="E16" s="8">
        <f t="shared" si="0"/>
        <v>1056</v>
      </c>
      <c r="L16" t="str">
        <v>粤V37282</v>
      </c>
      <c r="M16" t="s">
        <v>479</v>
      </c>
    </row>
    <row r="17" spans="1:12">
      <c r="A17" s="22">
        <v>45928</v>
      </c>
      <c r="B17" s="23" t="s">
        <v>484</v>
      </c>
      <c r="C17" s="23">
        <v>193</v>
      </c>
      <c r="D17" s="8">
        <v>5.85</v>
      </c>
      <c r="E17" s="8">
        <f t="shared" si="0"/>
        <v>1129</v>
      </c>
      <c r="L17">
        <v>0</v>
      </c>
    </row>
    <row r="18" spans="1:12">
      <c r="A18" s="22">
        <v>45928</v>
      </c>
      <c r="B18" s="23" t="s">
        <v>485</v>
      </c>
      <c r="C18" s="23">
        <v>145.5</v>
      </c>
      <c r="D18" s="8">
        <v>5.85</v>
      </c>
      <c r="E18" s="8">
        <f t="shared" si="0"/>
        <v>851</v>
      </c>
      <c r="L18">
        <v>0</v>
      </c>
    </row>
    <row r="19" spans="1:12">
      <c r="A19" s="22">
        <v>45928</v>
      </c>
      <c r="B19" s="23" t="s">
        <v>486</v>
      </c>
      <c r="C19" s="23">
        <v>142</v>
      </c>
      <c r="D19" s="8">
        <v>5.85</v>
      </c>
      <c r="E19" s="8">
        <f t="shared" si="0"/>
        <v>830</v>
      </c>
      <c r="L19">
        <v>0</v>
      </c>
    </row>
    <row r="20" spans="1:12">
      <c r="A20" s="22">
        <v>45928</v>
      </c>
      <c r="B20" s="23" t="s">
        <v>482</v>
      </c>
      <c r="C20" s="23">
        <v>354</v>
      </c>
      <c r="D20" s="8">
        <v>5.85</v>
      </c>
      <c r="E20" s="8">
        <f t="shared" si="0"/>
        <v>2070</v>
      </c>
      <c r="L20">
        <v>0</v>
      </c>
    </row>
    <row r="21" spans="1:12">
      <c r="A21" s="22">
        <v>45928</v>
      </c>
      <c r="B21" s="23" t="s">
        <v>487</v>
      </c>
      <c r="C21" s="23">
        <v>272.17</v>
      </c>
      <c r="D21" s="8">
        <v>5.85</v>
      </c>
      <c r="E21" s="8">
        <f t="shared" si="0"/>
        <v>1592</v>
      </c>
      <c r="L21">
        <v>0</v>
      </c>
    </row>
    <row r="22" spans="1:12">
      <c r="A22" s="22">
        <v>45929</v>
      </c>
      <c r="B22" s="23" t="s">
        <v>488</v>
      </c>
      <c r="C22" s="23">
        <v>126.77</v>
      </c>
      <c r="D22" s="8">
        <v>5.85</v>
      </c>
      <c r="E22" s="8">
        <f t="shared" si="0"/>
        <v>741</v>
      </c>
      <c r="L22">
        <v>0</v>
      </c>
    </row>
    <row r="23" spans="1:12">
      <c r="A23" s="22">
        <v>45930</v>
      </c>
      <c r="B23" s="23" t="s">
        <v>482</v>
      </c>
      <c r="C23" s="23">
        <v>147.76</v>
      </c>
      <c r="D23" s="8">
        <v>5.85</v>
      </c>
      <c r="E23" s="8">
        <f t="shared" si="0"/>
        <v>864</v>
      </c>
      <c r="L23">
        <v>0</v>
      </c>
    </row>
    <row r="24" spans="1:12">
      <c r="A24" s="22">
        <v>45930</v>
      </c>
      <c r="B24" s="23" t="s">
        <v>489</v>
      </c>
      <c r="C24" s="23">
        <v>350</v>
      </c>
      <c r="D24" s="8">
        <v>5.85</v>
      </c>
      <c r="E24" s="8">
        <f t="shared" si="0"/>
        <v>2047</v>
      </c>
      <c r="L24">
        <v>0</v>
      </c>
    </row>
    <row r="25" spans="1:12">
      <c r="A25" s="22">
        <v>45930</v>
      </c>
      <c r="B25" s="23" t="s">
        <v>480</v>
      </c>
      <c r="C25" s="23">
        <v>147.3</v>
      </c>
      <c r="D25" s="8">
        <v>5.85</v>
      </c>
      <c r="E25" s="8">
        <f t="shared" si="0"/>
        <v>861</v>
      </c>
      <c r="L25">
        <v>0</v>
      </c>
    </row>
    <row r="26" spans="1:12">
      <c r="A26" s="22">
        <v>45931</v>
      </c>
      <c r="B26" s="23" t="s">
        <v>487</v>
      </c>
      <c r="C26" s="23">
        <v>134.77</v>
      </c>
      <c r="D26" s="8">
        <v>5.85</v>
      </c>
      <c r="E26" s="8">
        <f t="shared" si="0"/>
        <v>788</v>
      </c>
      <c r="L26">
        <v>0</v>
      </c>
    </row>
    <row r="27" spans="1:12">
      <c r="A27" s="22">
        <v>45932</v>
      </c>
      <c r="B27" s="23" t="s">
        <v>487</v>
      </c>
      <c r="C27" s="23">
        <v>134.82</v>
      </c>
      <c r="D27" s="8">
        <v>5.85</v>
      </c>
      <c r="E27" s="8">
        <f t="shared" ref="E27:E36" si="1">INT(C27*D27)</f>
        <v>788</v>
      </c>
      <c r="L27">
        <v>0</v>
      </c>
    </row>
    <row r="28" spans="1:12">
      <c r="A28" s="22">
        <v>45932</v>
      </c>
      <c r="B28" s="23" t="s">
        <v>488</v>
      </c>
      <c r="C28" s="23">
        <v>142.94</v>
      </c>
      <c r="D28" s="8">
        <v>5.85</v>
      </c>
      <c r="E28" s="8">
        <f t="shared" si="1"/>
        <v>836</v>
      </c>
      <c r="L28">
        <v>0</v>
      </c>
    </row>
    <row r="29" spans="1:12">
      <c r="A29" s="22">
        <v>45932</v>
      </c>
      <c r="B29" s="23" t="s">
        <v>490</v>
      </c>
      <c r="C29" s="23">
        <v>400</v>
      </c>
      <c r="D29" s="8">
        <v>5.85</v>
      </c>
      <c r="E29" s="8">
        <f t="shared" si="1"/>
        <v>2340</v>
      </c>
      <c r="L29">
        <v>0</v>
      </c>
    </row>
    <row r="30" spans="1:12">
      <c r="A30" s="22">
        <v>45932</v>
      </c>
      <c r="B30" s="23" t="s">
        <v>483</v>
      </c>
      <c r="C30" s="23">
        <v>151.72</v>
      </c>
      <c r="D30" s="8">
        <v>5.85</v>
      </c>
      <c r="E30" s="8">
        <f t="shared" si="1"/>
        <v>887</v>
      </c>
      <c r="L30">
        <v>0</v>
      </c>
    </row>
    <row r="31" spans="1:12">
      <c r="A31" s="22">
        <v>45933</v>
      </c>
      <c r="B31" s="23" t="s">
        <v>488</v>
      </c>
      <c r="C31" s="23">
        <v>130.4</v>
      </c>
      <c r="D31" s="8">
        <v>5.85</v>
      </c>
      <c r="E31" s="8">
        <f t="shared" si="1"/>
        <v>762</v>
      </c>
      <c r="L31">
        <v>0</v>
      </c>
    </row>
    <row r="32" spans="1:12">
      <c r="A32" s="22">
        <v>45933</v>
      </c>
      <c r="B32" s="23" t="s">
        <v>484</v>
      </c>
      <c r="C32" s="23">
        <v>192</v>
      </c>
      <c r="D32" s="8">
        <v>5.85</v>
      </c>
      <c r="E32" s="8">
        <f t="shared" si="1"/>
        <v>1123</v>
      </c>
      <c r="L32">
        <v>0</v>
      </c>
    </row>
    <row r="33" spans="1:12">
      <c r="A33" s="22">
        <v>45933</v>
      </c>
      <c r="B33" s="23" t="s">
        <v>491</v>
      </c>
      <c r="C33" s="23">
        <v>350</v>
      </c>
      <c r="D33" s="8">
        <v>5.85</v>
      </c>
      <c r="E33" s="8">
        <f t="shared" si="1"/>
        <v>2047</v>
      </c>
      <c r="L33">
        <v>0</v>
      </c>
    </row>
    <row r="34" spans="1:12">
      <c r="A34" s="22">
        <v>45933</v>
      </c>
      <c r="B34" s="23" t="s">
        <v>486</v>
      </c>
      <c r="C34" s="23">
        <v>165</v>
      </c>
      <c r="D34" s="8">
        <v>5.85</v>
      </c>
      <c r="E34" s="8">
        <f t="shared" si="1"/>
        <v>965</v>
      </c>
      <c r="L34">
        <v>0</v>
      </c>
    </row>
    <row r="35" spans="1:12">
      <c r="A35" s="22">
        <v>45934</v>
      </c>
      <c r="B35" s="23" t="s">
        <v>480</v>
      </c>
      <c r="C35" s="23">
        <v>111.81</v>
      </c>
      <c r="D35" s="8">
        <v>5.85</v>
      </c>
      <c r="E35" s="8">
        <f t="shared" si="1"/>
        <v>654</v>
      </c>
      <c r="L35">
        <v>0</v>
      </c>
    </row>
    <row r="36" spans="1:12">
      <c r="A36" s="22">
        <v>45934</v>
      </c>
      <c r="B36" s="23" t="s">
        <v>482</v>
      </c>
      <c r="C36" s="23">
        <v>140.38</v>
      </c>
      <c r="D36" s="8">
        <v>5.85</v>
      </c>
      <c r="E36" s="8">
        <f t="shared" si="1"/>
        <v>821</v>
      </c>
      <c r="L36">
        <v>0</v>
      </c>
    </row>
    <row r="37" spans="4:12">
      <c r="D37" s="8"/>
      <c r="E37" s="8"/>
      <c r="F37">
        <f>SUM(E27:E36)</f>
        <v>11223</v>
      </c>
      <c r="L37">
        <v>0</v>
      </c>
    </row>
    <row r="38" spans="1:12">
      <c r="A38" s="22">
        <v>45937</v>
      </c>
      <c r="B38" s="23" t="s">
        <v>487</v>
      </c>
      <c r="C38" s="23">
        <v>170.62</v>
      </c>
      <c r="D38" s="8">
        <v>5.85</v>
      </c>
      <c r="E38" s="8">
        <f t="shared" ref="E37:E48" si="2">INT(C38*D38)</f>
        <v>998</v>
      </c>
      <c r="L38">
        <v>0</v>
      </c>
    </row>
    <row r="39" spans="1:12">
      <c r="A39" s="22">
        <v>45938</v>
      </c>
      <c r="B39" s="23" t="s">
        <v>481</v>
      </c>
      <c r="C39" s="23">
        <v>151.06</v>
      </c>
      <c r="D39" s="8">
        <v>5.85</v>
      </c>
      <c r="E39" s="8">
        <f t="shared" si="2"/>
        <v>883</v>
      </c>
      <c r="L39">
        <v>0</v>
      </c>
    </row>
    <row r="40" spans="1:12">
      <c r="A40" s="22">
        <v>45938</v>
      </c>
      <c r="B40" s="23" t="s">
        <v>483</v>
      </c>
      <c r="C40" s="23">
        <v>155.12</v>
      </c>
      <c r="D40" s="8">
        <v>5.85</v>
      </c>
      <c r="E40" s="8">
        <f t="shared" si="2"/>
        <v>907</v>
      </c>
      <c r="L40">
        <v>0</v>
      </c>
    </row>
    <row r="41" spans="1:12">
      <c r="A41" s="22">
        <v>45938</v>
      </c>
      <c r="B41" s="23" t="s">
        <v>481</v>
      </c>
      <c r="C41" s="23">
        <v>334.38</v>
      </c>
      <c r="D41" s="8">
        <v>5.85</v>
      </c>
      <c r="E41" s="8">
        <f t="shared" si="2"/>
        <v>1956</v>
      </c>
      <c r="L41">
        <v>0</v>
      </c>
    </row>
    <row r="42" spans="1:12">
      <c r="A42" s="22">
        <v>45938</v>
      </c>
      <c r="B42" s="23" t="s">
        <v>485</v>
      </c>
      <c r="C42" s="23">
        <v>186.01</v>
      </c>
      <c r="D42" s="8">
        <v>5.85</v>
      </c>
      <c r="E42" s="8">
        <f t="shared" si="2"/>
        <v>1088</v>
      </c>
      <c r="L42">
        <v>0</v>
      </c>
    </row>
    <row r="43" spans="1:12">
      <c r="A43" s="22">
        <v>45939</v>
      </c>
      <c r="B43" s="23" t="s">
        <v>486</v>
      </c>
      <c r="C43" s="23">
        <v>185</v>
      </c>
      <c r="D43" s="8">
        <v>5.85</v>
      </c>
      <c r="E43" s="8">
        <f t="shared" si="2"/>
        <v>1082</v>
      </c>
      <c r="L43">
        <v>0</v>
      </c>
    </row>
    <row r="44" spans="1:12">
      <c r="A44" s="22">
        <v>45939</v>
      </c>
      <c r="B44" s="23" t="s">
        <v>488</v>
      </c>
      <c r="C44" s="23">
        <v>127.53</v>
      </c>
      <c r="D44" s="8">
        <v>5.85</v>
      </c>
      <c r="E44" s="8">
        <f t="shared" si="2"/>
        <v>746</v>
      </c>
      <c r="L44">
        <v>0</v>
      </c>
    </row>
    <row r="45" spans="1:12">
      <c r="A45" s="22">
        <v>45939</v>
      </c>
      <c r="B45" s="23" t="s">
        <v>482</v>
      </c>
      <c r="C45" s="23">
        <v>155.45</v>
      </c>
      <c r="D45" s="8">
        <v>5.85</v>
      </c>
      <c r="E45" s="8">
        <f t="shared" si="2"/>
        <v>909</v>
      </c>
      <c r="L45">
        <v>0</v>
      </c>
    </row>
    <row r="46" spans="1:12">
      <c r="A46" s="22">
        <v>45939</v>
      </c>
      <c r="B46" s="23" t="s">
        <v>480</v>
      </c>
      <c r="C46" s="23">
        <v>123.9</v>
      </c>
      <c r="D46" s="8">
        <v>5.85</v>
      </c>
      <c r="E46" s="8">
        <f t="shared" si="2"/>
        <v>724</v>
      </c>
      <c r="L46">
        <v>0</v>
      </c>
    </row>
    <row r="47" spans="1:12">
      <c r="A47" s="22">
        <v>45939</v>
      </c>
      <c r="B47" s="23" t="s">
        <v>484</v>
      </c>
      <c r="C47" s="23">
        <v>191.71</v>
      </c>
      <c r="D47" s="8">
        <v>5.85</v>
      </c>
      <c r="E47" s="8">
        <f t="shared" si="2"/>
        <v>1121</v>
      </c>
      <c r="L47">
        <v>0</v>
      </c>
    </row>
    <row r="48" spans="1:12">
      <c r="A48" s="22">
        <v>45940</v>
      </c>
      <c r="B48" s="23" t="s">
        <v>487</v>
      </c>
      <c r="C48" s="23">
        <v>137.06</v>
      </c>
      <c r="D48" s="8">
        <v>5.85</v>
      </c>
      <c r="E48" s="8">
        <f t="shared" si="2"/>
        <v>801</v>
      </c>
      <c r="L48">
        <v>0</v>
      </c>
    </row>
    <row r="49" spans="5:12">
      <c r="E49" s="8">
        <f t="shared" ref="E49:E59" si="3">INT(C49*D49)</f>
        <v>0</v>
      </c>
      <c r="F49">
        <f>SUM(E38:E48)</f>
        <v>11215</v>
      </c>
      <c r="L49">
        <v>0</v>
      </c>
    </row>
    <row r="50" spans="1:12">
      <c r="A50" s="22">
        <v>45941</v>
      </c>
      <c r="B50" s="23" t="s">
        <v>472</v>
      </c>
      <c r="C50" s="23">
        <v>450</v>
      </c>
      <c r="D50" s="8">
        <v>5.75</v>
      </c>
      <c r="E50" s="8">
        <f t="shared" si="3"/>
        <v>2587</v>
      </c>
      <c r="L50">
        <v>0</v>
      </c>
    </row>
    <row r="51" spans="1:12">
      <c r="A51" s="22">
        <v>45941</v>
      </c>
      <c r="B51" s="23" t="s">
        <v>471</v>
      </c>
      <c r="C51" s="23">
        <v>350</v>
      </c>
      <c r="D51" s="8">
        <v>5.75</v>
      </c>
      <c r="E51" s="8">
        <f t="shared" si="3"/>
        <v>2012</v>
      </c>
      <c r="L51">
        <v>0</v>
      </c>
    </row>
    <row r="52" spans="1:12">
      <c r="A52" s="22">
        <v>45942</v>
      </c>
      <c r="B52" s="23" t="s">
        <v>478</v>
      </c>
      <c r="C52" s="23">
        <v>188.1</v>
      </c>
      <c r="D52" s="8">
        <v>5.75</v>
      </c>
      <c r="E52" s="8">
        <f t="shared" si="3"/>
        <v>1081</v>
      </c>
      <c r="L52">
        <v>0</v>
      </c>
    </row>
    <row r="53" spans="1:12">
      <c r="A53" s="22">
        <v>45942</v>
      </c>
      <c r="B53" s="23" t="s">
        <v>479</v>
      </c>
      <c r="C53" s="23">
        <v>153.62</v>
      </c>
      <c r="D53" s="8">
        <v>5.75</v>
      </c>
      <c r="E53" s="8">
        <f t="shared" si="3"/>
        <v>883</v>
      </c>
      <c r="L53">
        <v>0</v>
      </c>
    </row>
    <row r="54" spans="1:12">
      <c r="A54" s="22">
        <v>45943</v>
      </c>
      <c r="B54" s="23" t="s">
        <v>477</v>
      </c>
      <c r="C54" s="23">
        <v>118.01</v>
      </c>
      <c r="D54" s="8">
        <v>5.75</v>
      </c>
      <c r="E54" s="8">
        <f t="shared" si="3"/>
        <v>678</v>
      </c>
      <c r="L54">
        <v>0</v>
      </c>
    </row>
    <row r="55" spans="1:12">
      <c r="A55" s="22">
        <v>45943</v>
      </c>
      <c r="B55" s="23" t="s">
        <v>476</v>
      </c>
      <c r="C55" s="23">
        <v>122</v>
      </c>
      <c r="D55" s="8">
        <v>5.75</v>
      </c>
      <c r="E55" s="8">
        <f t="shared" si="3"/>
        <v>701</v>
      </c>
      <c r="L55">
        <v>0</v>
      </c>
    </row>
    <row r="56" spans="1:12">
      <c r="A56" s="22">
        <v>45943</v>
      </c>
      <c r="B56" s="23" t="s">
        <v>479</v>
      </c>
      <c r="C56" s="23">
        <v>145.01</v>
      </c>
      <c r="D56" s="8">
        <v>5.75</v>
      </c>
      <c r="E56" s="8">
        <f t="shared" si="3"/>
        <v>833</v>
      </c>
      <c r="L56">
        <v>0</v>
      </c>
    </row>
    <row r="57" spans="1:5">
      <c r="A57" s="22">
        <v>45943</v>
      </c>
      <c r="B57" s="23" t="s">
        <v>475</v>
      </c>
      <c r="C57" s="23">
        <v>160</v>
      </c>
      <c r="D57" s="8">
        <v>5.75</v>
      </c>
      <c r="E57" s="8">
        <f t="shared" si="3"/>
        <v>920</v>
      </c>
    </row>
    <row r="58" spans="1:5">
      <c r="A58" s="22">
        <v>45943</v>
      </c>
      <c r="B58" s="23" t="s">
        <v>475</v>
      </c>
      <c r="C58" s="23">
        <v>183.45</v>
      </c>
      <c r="D58" s="8">
        <v>5.75</v>
      </c>
      <c r="E58" s="8">
        <f t="shared" si="3"/>
        <v>1054</v>
      </c>
    </row>
    <row r="59" spans="1:5">
      <c r="A59" s="22">
        <v>45943</v>
      </c>
      <c r="B59" s="23" t="s">
        <v>464</v>
      </c>
      <c r="C59" s="23">
        <v>139.1</v>
      </c>
      <c r="D59" s="8">
        <v>5.75</v>
      </c>
      <c r="E59" s="8">
        <f t="shared" si="3"/>
        <v>799</v>
      </c>
    </row>
    <row r="60" spans="5:5">
      <c r="E60">
        <f>SUM(E50:E59)</f>
        <v>11548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O93"/>
  <sheetViews>
    <sheetView topLeftCell="A69" workbookViewId="0">
      <selection activeCell="A87" sqref="A87:E93"/>
    </sheetView>
  </sheetViews>
  <sheetFormatPr defaultColWidth="9" defaultRowHeight="14.25"/>
  <cols>
    <col min="1" max="1" width="11.1333333333333" customWidth="1"/>
  </cols>
  <sheetData>
    <row r="1" ht="22.5" spans="1:15">
      <c r="A1" s="38" t="s">
        <v>0</v>
      </c>
      <c r="B1" s="39" t="s">
        <v>492</v>
      </c>
      <c r="C1" s="53"/>
      <c r="D1" s="5"/>
      <c r="E1" s="26" t="s">
        <v>2</v>
      </c>
      <c r="F1" s="42"/>
      <c r="G1" s="61"/>
      <c r="H1" s="44"/>
      <c r="N1" t="str" cm="1">
        <f t="array" ref="N1:N56">_xlfn.TOCOL(A2:G9)</f>
        <v>粤VV8785</v>
      </c>
      <c r="O1" t="s">
        <v>493</v>
      </c>
    </row>
    <row r="2" spans="1:15">
      <c r="A2" s="45" t="s">
        <v>493</v>
      </c>
      <c r="B2" s="56" t="s">
        <v>494</v>
      </c>
      <c r="C2" s="45" t="s">
        <v>495</v>
      </c>
      <c r="D2" s="45" t="s">
        <v>496</v>
      </c>
      <c r="E2" s="45" t="s">
        <v>497</v>
      </c>
      <c r="F2" s="47" t="s">
        <v>498</v>
      </c>
      <c r="G2" s="56" t="s">
        <v>499</v>
      </c>
      <c r="H2" s="46"/>
      <c r="N2" t="str">
        <v>粤V28395</v>
      </c>
      <c r="O2" t="s">
        <v>494</v>
      </c>
    </row>
    <row r="3" spans="1:15">
      <c r="A3" s="45" t="s">
        <v>500</v>
      </c>
      <c r="B3" s="56" t="s">
        <v>501</v>
      </c>
      <c r="C3" s="45" t="s">
        <v>502</v>
      </c>
      <c r="D3" s="45" t="s">
        <v>503</v>
      </c>
      <c r="E3" s="45" t="s">
        <v>504</v>
      </c>
      <c r="F3" s="45" t="s">
        <v>505</v>
      </c>
      <c r="G3" s="56" t="s">
        <v>506</v>
      </c>
      <c r="H3" s="46"/>
      <c r="N3" t="str">
        <v>粤V03056</v>
      </c>
      <c r="O3" t="s">
        <v>495</v>
      </c>
    </row>
    <row r="4" spans="1:15">
      <c r="A4" s="45" t="s">
        <v>507</v>
      </c>
      <c r="B4" s="56" t="s">
        <v>508</v>
      </c>
      <c r="C4" s="45" t="s">
        <v>509</v>
      </c>
      <c r="D4" s="45" t="s">
        <v>510</v>
      </c>
      <c r="E4" s="45" t="s">
        <v>511</v>
      </c>
      <c r="F4" s="8" t="s">
        <v>512</v>
      </c>
      <c r="G4" s="34" t="s">
        <v>513</v>
      </c>
      <c r="H4" s="46"/>
      <c r="N4" t="str">
        <v>粤VR4233</v>
      </c>
      <c r="O4" t="s">
        <v>496</v>
      </c>
    </row>
    <row r="5" spans="1:15">
      <c r="A5" s="45" t="s">
        <v>514</v>
      </c>
      <c r="B5" s="56" t="s">
        <v>515</v>
      </c>
      <c r="C5" s="47" t="s">
        <v>516</v>
      </c>
      <c r="D5" s="45" t="s">
        <v>517</v>
      </c>
      <c r="E5" s="47" t="s">
        <v>518</v>
      </c>
      <c r="F5" s="13" t="s">
        <v>519</v>
      </c>
      <c r="G5" s="45" t="s">
        <v>520</v>
      </c>
      <c r="H5" s="46"/>
      <c r="N5" t="str">
        <v>粤V68489</v>
      </c>
      <c r="O5" t="s">
        <v>497</v>
      </c>
    </row>
    <row r="6" spans="1:15">
      <c r="A6" s="45" t="s">
        <v>521</v>
      </c>
      <c r="B6" s="56" t="s">
        <v>522</v>
      </c>
      <c r="C6" s="45" t="s">
        <v>523</v>
      </c>
      <c r="D6" s="45" t="s">
        <v>524</v>
      </c>
      <c r="E6" s="45" t="s">
        <v>525</v>
      </c>
      <c r="F6" s="13" t="s">
        <v>526</v>
      </c>
      <c r="G6" s="45" t="s">
        <v>527</v>
      </c>
      <c r="H6" s="46"/>
      <c r="N6" t="str">
        <v>赣FB1372</v>
      </c>
      <c r="O6" t="s">
        <v>498</v>
      </c>
    </row>
    <row r="7" spans="1:15">
      <c r="A7" s="45" t="s">
        <v>528</v>
      </c>
      <c r="B7" s="34" t="s">
        <v>529</v>
      </c>
      <c r="C7" s="47" t="s">
        <v>530</v>
      </c>
      <c r="D7" s="45" t="s">
        <v>531</v>
      </c>
      <c r="E7" s="45" t="s">
        <v>532</v>
      </c>
      <c r="F7" s="13" t="s">
        <v>533</v>
      </c>
      <c r="G7" s="34" t="s">
        <v>534</v>
      </c>
      <c r="H7" s="46"/>
      <c r="N7" t="str">
        <v>粤VR5076</v>
      </c>
      <c r="O7" t="s">
        <v>499</v>
      </c>
    </row>
    <row r="8" spans="1:15">
      <c r="A8" s="8"/>
      <c r="B8" s="8"/>
      <c r="C8" s="8"/>
      <c r="D8" s="8"/>
      <c r="E8" s="8"/>
      <c r="F8" s="8"/>
      <c r="G8" s="13"/>
      <c r="H8" s="46"/>
      <c r="N8" t="str">
        <v>粤V03612</v>
      </c>
      <c r="O8" t="s">
        <v>500</v>
      </c>
    </row>
    <row r="9" spans="1:15">
      <c r="A9" s="8"/>
      <c r="B9" s="8"/>
      <c r="C9" s="8"/>
      <c r="D9" s="8"/>
      <c r="E9" s="8"/>
      <c r="F9" s="8"/>
      <c r="G9" s="8"/>
      <c r="N9" t="str">
        <v>粤VT8968</v>
      </c>
      <c r="O9" t="s">
        <v>501</v>
      </c>
    </row>
    <row r="10" spans="1:15">
      <c r="A10" s="62"/>
      <c r="B10" s="63"/>
      <c r="C10" s="64"/>
      <c r="D10" s="63"/>
      <c r="E10" s="63"/>
      <c r="F10" s="63"/>
      <c r="G10" s="63"/>
      <c r="H10" s="65"/>
      <c r="N10" t="str">
        <v>粤V89111</v>
      </c>
      <c r="O10" t="s">
        <v>502</v>
      </c>
    </row>
    <row r="11" spans="1:15">
      <c r="A11" s="66" t="s">
        <v>35</v>
      </c>
      <c r="B11" s="67" t="s">
        <v>36</v>
      </c>
      <c r="C11" s="68" t="s">
        <v>37</v>
      </c>
      <c r="D11" s="67" t="s">
        <v>38</v>
      </c>
      <c r="E11" s="67" t="s">
        <v>39</v>
      </c>
      <c r="F11" s="67" t="s">
        <v>40</v>
      </c>
      <c r="G11" s="67" t="s">
        <v>40</v>
      </c>
      <c r="H11" s="17" t="s">
        <v>40</v>
      </c>
      <c r="N11" t="str">
        <v>粤V99019</v>
      </c>
      <c r="O11" t="s">
        <v>503</v>
      </c>
    </row>
    <row r="12" spans="1:15">
      <c r="A12" s="22">
        <v>45923</v>
      </c>
      <c r="B12" s="23" t="s">
        <v>535</v>
      </c>
      <c r="C12" s="23">
        <v>145.71</v>
      </c>
      <c r="D12" s="69" t="str">
        <f>IF(C12&gt;=200,"5.75",IF(C12&lt;200,"5.95"))</f>
        <v>5.95</v>
      </c>
      <c r="E12" s="8">
        <f t="shared" ref="E12" si="0">INT(C12*D12)</f>
        <v>866</v>
      </c>
      <c r="N12" t="str">
        <v>粤D88434</v>
      </c>
      <c r="O12" t="s">
        <v>504</v>
      </c>
    </row>
    <row r="13" spans="1:15">
      <c r="A13" s="22">
        <v>45923</v>
      </c>
      <c r="B13" s="23" t="s">
        <v>536</v>
      </c>
      <c r="C13" s="23">
        <v>88.13</v>
      </c>
      <c r="D13" s="69" t="str">
        <f t="shared" ref="D13:D21" si="1">IF(C13&gt;=200,"5.75",IF(C13&lt;200,"5.95"))</f>
        <v>5.95</v>
      </c>
      <c r="E13" s="8">
        <f t="shared" ref="E13:E21" si="2">INT(C13*D13)</f>
        <v>524</v>
      </c>
      <c r="N13" t="str">
        <v>粤VR3016</v>
      </c>
      <c r="O13" t="s">
        <v>505</v>
      </c>
    </row>
    <row r="14" spans="1:15">
      <c r="A14" s="22">
        <v>45923</v>
      </c>
      <c r="B14" s="23" t="s">
        <v>537</v>
      </c>
      <c r="C14" s="23">
        <v>110.97</v>
      </c>
      <c r="D14" s="69" t="str">
        <f t="shared" si="1"/>
        <v>5.95</v>
      </c>
      <c r="E14" s="8">
        <f t="shared" si="2"/>
        <v>660</v>
      </c>
      <c r="N14" t="str">
        <v>粤V02135</v>
      </c>
      <c r="O14" t="s">
        <v>506</v>
      </c>
    </row>
    <row r="15" spans="1:15">
      <c r="A15" s="22">
        <v>45923</v>
      </c>
      <c r="B15" s="23" t="s">
        <v>538</v>
      </c>
      <c r="C15" s="23">
        <v>40.43</v>
      </c>
      <c r="D15" s="69" t="str">
        <f t="shared" si="1"/>
        <v>5.95</v>
      </c>
      <c r="E15" s="8">
        <f t="shared" si="2"/>
        <v>240</v>
      </c>
      <c r="N15" t="str">
        <v>粤VM0129</v>
      </c>
      <c r="O15" t="s">
        <v>507</v>
      </c>
    </row>
    <row r="16" spans="1:15">
      <c r="A16" s="22">
        <v>45924</v>
      </c>
      <c r="B16" s="23" t="s">
        <v>539</v>
      </c>
      <c r="C16" s="23">
        <v>100.01</v>
      </c>
      <c r="D16" s="69" t="str">
        <f t="shared" si="1"/>
        <v>5.95</v>
      </c>
      <c r="E16" s="8">
        <f t="shared" si="2"/>
        <v>595</v>
      </c>
      <c r="N16" t="str">
        <v>粤VY5715</v>
      </c>
      <c r="O16" t="s">
        <v>508</v>
      </c>
    </row>
    <row r="17" spans="1:15">
      <c r="A17" s="22">
        <v>45924</v>
      </c>
      <c r="B17" s="23" t="s">
        <v>540</v>
      </c>
      <c r="C17" s="23">
        <v>221.2</v>
      </c>
      <c r="D17" s="69" t="str">
        <f t="shared" si="1"/>
        <v>5.75</v>
      </c>
      <c r="E17" s="8">
        <f t="shared" si="2"/>
        <v>1271</v>
      </c>
      <c r="N17" t="str">
        <v>粤VG9659</v>
      </c>
      <c r="O17" t="s">
        <v>509</v>
      </c>
    </row>
    <row r="18" spans="1:15">
      <c r="A18" s="22">
        <v>45924</v>
      </c>
      <c r="B18" s="23" t="s">
        <v>541</v>
      </c>
      <c r="C18" s="23">
        <v>210.85</v>
      </c>
      <c r="D18" s="69" t="str">
        <f t="shared" si="1"/>
        <v>5.75</v>
      </c>
      <c r="E18" s="8">
        <f t="shared" si="2"/>
        <v>1212</v>
      </c>
      <c r="N18" t="str">
        <v>粤VD6955</v>
      </c>
      <c r="O18" t="s">
        <v>510</v>
      </c>
    </row>
    <row r="19" spans="1:15">
      <c r="A19" s="22">
        <v>45925</v>
      </c>
      <c r="B19" s="23" t="s">
        <v>542</v>
      </c>
      <c r="C19" s="23">
        <v>217.61</v>
      </c>
      <c r="D19" s="69" t="str">
        <f t="shared" si="1"/>
        <v>5.75</v>
      </c>
      <c r="E19" s="8">
        <f t="shared" si="2"/>
        <v>1251</v>
      </c>
      <c r="N19" t="str">
        <v>粤VT6648</v>
      </c>
      <c r="O19" t="s">
        <v>511</v>
      </c>
    </row>
    <row r="20" spans="1:15">
      <c r="A20" s="22">
        <v>45925</v>
      </c>
      <c r="B20" s="23" t="s">
        <v>543</v>
      </c>
      <c r="C20" s="23">
        <v>73.23</v>
      </c>
      <c r="D20" s="69" t="str">
        <f t="shared" si="1"/>
        <v>5.95</v>
      </c>
      <c r="E20" s="8">
        <f t="shared" si="2"/>
        <v>435</v>
      </c>
      <c r="N20" t="str">
        <v>粤V27S00</v>
      </c>
      <c r="O20" t="s">
        <v>512</v>
      </c>
    </row>
    <row r="21" spans="1:15">
      <c r="A21" s="22">
        <v>45925</v>
      </c>
      <c r="B21" s="23" t="s">
        <v>544</v>
      </c>
      <c r="C21" s="23">
        <v>287.8</v>
      </c>
      <c r="D21" s="69" t="str">
        <f t="shared" si="1"/>
        <v>5.75</v>
      </c>
      <c r="E21" s="8">
        <f t="shared" si="2"/>
        <v>1654</v>
      </c>
      <c r="N21" t="str">
        <v>赣CBM909</v>
      </c>
      <c r="O21" t="s">
        <v>513</v>
      </c>
    </row>
    <row r="22" spans="1:15">
      <c r="A22" s="22">
        <v>45926</v>
      </c>
      <c r="B22" s="23" t="s">
        <v>545</v>
      </c>
      <c r="C22" s="23">
        <v>260.22</v>
      </c>
      <c r="D22" s="69" t="str">
        <f t="shared" ref="D22:D34" si="3">IF(C22&gt;=200,"5.75",IF(C22&lt;200,"5.95"))</f>
        <v>5.75</v>
      </c>
      <c r="E22" s="8">
        <f t="shared" ref="E22:E39" si="4">INT(C22*D22)</f>
        <v>1496</v>
      </c>
      <c r="N22" t="str">
        <v>粤VA8711</v>
      </c>
      <c r="O22" t="s">
        <v>514</v>
      </c>
    </row>
    <row r="23" spans="1:15">
      <c r="A23" s="22">
        <v>45926</v>
      </c>
      <c r="B23" s="23" t="s">
        <v>546</v>
      </c>
      <c r="C23" s="23">
        <v>267.92</v>
      </c>
      <c r="D23" s="69" t="str">
        <f t="shared" si="3"/>
        <v>5.75</v>
      </c>
      <c r="E23" s="8">
        <f t="shared" si="4"/>
        <v>1540</v>
      </c>
      <c r="N23" t="str">
        <v>粤V97339</v>
      </c>
      <c r="O23" t="s">
        <v>515</v>
      </c>
    </row>
    <row r="24" spans="1:15">
      <c r="A24" s="22">
        <v>45926</v>
      </c>
      <c r="B24" s="23" t="s">
        <v>547</v>
      </c>
      <c r="C24" s="23">
        <v>300.77</v>
      </c>
      <c r="D24" s="69" t="str">
        <f t="shared" si="3"/>
        <v>5.75</v>
      </c>
      <c r="E24" s="8">
        <f t="shared" si="4"/>
        <v>1729</v>
      </c>
      <c r="N24" t="str">
        <v>粤VV0871</v>
      </c>
      <c r="O24" t="s">
        <v>516</v>
      </c>
    </row>
    <row r="25" spans="1:15">
      <c r="A25" s="22">
        <v>45926</v>
      </c>
      <c r="B25" s="23" t="s">
        <v>548</v>
      </c>
      <c r="C25" s="23">
        <v>292.01</v>
      </c>
      <c r="D25" s="69" t="str">
        <f t="shared" si="3"/>
        <v>5.75</v>
      </c>
      <c r="E25" s="8">
        <f t="shared" si="4"/>
        <v>1679</v>
      </c>
      <c r="N25" t="str">
        <v>粤VF6831</v>
      </c>
      <c r="O25" t="s">
        <v>517</v>
      </c>
    </row>
    <row r="26" spans="1:15">
      <c r="A26" s="22">
        <v>45926</v>
      </c>
      <c r="B26" s="23" t="s">
        <v>549</v>
      </c>
      <c r="C26" s="23">
        <v>50.24</v>
      </c>
      <c r="D26" s="69" t="str">
        <f t="shared" si="3"/>
        <v>5.95</v>
      </c>
      <c r="E26" s="8">
        <f t="shared" si="4"/>
        <v>298</v>
      </c>
      <c r="N26" t="str">
        <v>桂E27128</v>
      </c>
      <c r="O26" t="s">
        <v>518</v>
      </c>
    </row>
    <row r="27" spans="1:15">
      <c r="A27" s="22">
        <v>45927</v>
      </c>
      <c r="B27" s="23" t="s">
        <v>550</v>
      </c>
      <c r="C27" s="23">
        <v>235.85</v>
      </c>
      <c r="D27" s="69" t="str">
        <f t="shared" si="3"/>
        <v>5.75</v>
      </c>
      <c r="E27" s="8">
        <f t="shared" si="4"/>
        <v>1356</v>
      </c>
      <c r="N27" t="str">
        <v>粤V74118</v>
      </c>
      <c r="O27" t="s">
        <v>519</v>
      </c>
    </row>
    <row r="28" spans="1:15">
      <c r="A28" s="22">
        <v>45927</v>
      </c>
      <c r="B28" s="23" t="s">
        <v>551</v>
      </c>
      <c r="C28" s="23">
        <v>329.23</v>
      </c>
      <c r="D28" s="69" t="str">
        <f t="shared" si="3"/>
        <v>5.75</v>
      </c>
      <c r="E28" s="8">
        <f t="shared" si="4"/>
        <v>1893</v>
      </c>
      <c r="N28" t="str">
        <v>粤VQ8208</v>
      </c>
      <c r="O28" t="s">
        <v>520</v>
      </c>
    </row>
    <row r="29" spans="1:15">
      <c r="A29" s="22">
        <v>45927</v>
      </c>
      <c r="B29" s="23" t="s">
        <v>552</v>
      </c>
      <c r="C29" s="23">
        <v>218.34</v>
      </c>
      <c r="D29" s="69" t="str">
        <f t="shared" si="3"/>
        <v>5.75</v>
      </c>
      <c r="E29" s="8">
        <f t="shared" si="4"/>
        <v>1255</v>
      </c>
      <c r="N29" t="str">
        <v>粤BDV443</v>
      </c>
      <c r="O29" t="s">
        <v>521</v>
      </c>
    </row>
    <row r="30" spans="1:15">
      <c r="A30" s="22">
        <v>45927</v>
      </c>
      <c r="B30" s="23" t="s">
        <v>553</v>
      </c>
      <c r="C30" s="23">
        <v>223.61</v>
      </c>
      <c r="D30" s="69" t="str">
        <f t="shared" si="3"/>
        <v>5.75</v>
      </c>
      <c r="E30" s="8">
        <f t="shared" si="4"/>
        <v>1285</v>
      </c>
      <c r="N30" t="str">
        <v>粤VPH261</v>
      </c>
      <c r="O30" t="s">
        <v>522</v>
      </c>
    </row>
    <row r="31" spans="1:15">
      <c r="A31" s="22">
        <v>45927</v>
      </c>
      <c r="B31" s="23" t="s">
        <v>554</v>
      </c>
      <c r="C31" s="23">
        <v>92.07</v>
      </c>
      <c r="D31" s="69" t="str">
        <f t="shared" si="3"/>
        <v>5.95</v>
      </c>
      <c r="E31" s="8">
        <f t="shared" si="4"/>
        <v>547</v>
      </c>
      <c r="N31" t="str">
        <v>粤VR6232</v>
      </c>
      <c r="O31" t="s">
        <v>523</v>
      </c>
    </row>
    <row r="32" spans="1:15">
      <c r="A32" s="22">
        <v>45927</v>
      </c>
      <c r="B32" s="23" t="s">
        <v>555</v>
      </c>
      <c r="C32" s="23">
        <v>80.65</v>
      </c>
      <c r="D32" s="69" t="str">
        <f t="shared" si="3"/>
        <v>5.95</v>
      </c>
      <c r="E32" s="8">
        <f t="shared" si="4"/>
        <v>479</v>
      </c>
      <c r="N32" t="str">
        <v>粤VG5648</v>
      </c>
      <c r="O32" t="s">
        <v>524</v>
      </c>
    </row>
    <row r="33" spans="1:15">
      <c r="A33" s="22">
        <v>45927</v>
      </c>
      <c r="B33" s="23" t="s">
        <v>556</v>
      </c>
      <c r="C33" s="23">
        <v>53.69</v>
      </c>
      <c r="D33" s="69" t="str">
        <f t="shared" si="3"/>
        <v>5.95</v>
      </c>
      <c r="E33" s="8">
        <f t="shared" si="4"/>
        <v>319</v>
      </c>
      <c r="N33" t="str">
        <v>粤VN0683</v>
      </c>
      <c r="O33" t="s">
        <v>525</v>
      </c>
    </row>
    <row r="34" spans="1:15">
      <c r="A34" s="22">
        <v>45927</v>
      </c>
      <c r="B34" s="23" t="s">
        <v>557</v>
      </c>
      <c r="C34" s="23">
        <v>205.79</v>
      </c>
      <c r="D34" s="69" t="str">
        <f t="shared" si="3"/>
        <v>5.75</v>
      </c>
      <c r="E34" s="8">
        <f t="shared" si="4"/>
        <v>1183</v>
      </c>
      <c r="N34" t="str">
        <v>粤VMJ276</v>
      </c>
      <c r="O34" t="s">
        <v>526</v>
      </c>
    </row>
    <row r="35" spans="1:15">
      <c r="A35" s="22">
        <v>45928</v>
      </c>
      <c r="B35" s="23" t="s">
        <v>558</v>
      </c>
      <c r="C35" s="23">
        <v>137.77</v>
      </c>
      <c r="D35" s="69" t="str">
        <f>IF(C35&gt;=200,"5.85",IF(C35&lt;200,"5.95"))</f>
        <v>5.95</v>
      </c>
      <c r="E35" s="8">
        <f t="shared" si="4"/>
        <v>819</v>
      </c>
      <c r="N35" t="str">
        <v>粤V21X63</v>
      </c>
      <c r="O35" t="s">
        <v>527</v>
      </c>
    </row>
    <row r="36" spans="1:15">
      <c r="A36" s="22">
        <v>45928</v>
      </c>
      <c r="B36" s="23" t="s">
        <v>535</v>
      </c>
      <c r="C36" s="23">
        <v>200</v>
      </c>
      <c r="D36" s="69" t="str">
        <f>IF(C36&gt;=200,"5.85",IF(C36&lt;200,"5.95"))</f>
        <v>5.85</v>
      </c>
      <c r="E36" s="8">
        <f t="shared" si="4"/>
        <v>1170</v>
      </c>
      <c r="N36" t="str">
        <v>粤D52N31</v>
      </c>
      <c r="O36" t="s">
        <v>528</v>
      </c>
    </row>
    <row r="37" spans="1:15">
      <c r="A37" s="22">
        <v>45928</v>
      </c>
      <c r="B37" s="23" t="s">
        <v>559</v>
      </c>
      <c r="C37" s="23">
        <v>115.15</v>
      </c>
      <c r="D37" s="69" t="str">
        <f>IF(C37&gt;=200,"5.85",IF(C37&lt;200,"5.95"))</f>
        <v>5.95</v>
      </c>
      <c r="E37" s="8">
        <f t="shared" si="4"/>
        <v>685</v>
      </c>
      <c r="N37" t="str">
        <v>粤VNV905</v>
      </c>
      <c r="O37" t="s">
        <v>529</v>
      </c>
    </row>
    <row r="38" spans="1:15">
      <c r="A38" s="22">
        <v>45928</v>
      </c>
      <c r="B38" s="23" t="s">
        <v>543</v>
      </c>
      <c r="C38" s="23">
        <v>73.37</v>
      </c>
      <c r="D38" s="69" t="str">
        <f>IF(C38&gt;=200,"5.85",IF(C38&lt;200,"5.95"))</f>
        <v>5.95</v>
      </c>
      <c r="E38" s="8">
        <f t="shared" si="4"/>
        <v>436</v>
      </c>
      <c r="N38" t="str">
        <v>粤VR5789</v>
      </c>
      <c r="O38" t="s">
        <v>530</v>
      </c>
    </row>
    <row r="39" spans="1:15">
      <c r="A39" s="22">
        <v>45928</v>
      </c>
      <c r="B39" s="23" t="s">
        <v>560</v>
      </c>
      <c r="C39" s="23">
        <v>232.25</v>
      </c>
      <c r="D39" s="69" t="str">
        <f>IF(C39&gt;=200,"5.85",IF(C39&lt;200,"5.95"))</f>
        <v>5.85</v>
      </c>
      <c r="E39" s="8">
        <f t="shared" si="4"/>
        <v>1358</v>
      </c>
      <c r="N39" t="str">
        <v>粤VU0576</v>
      </c>
      <c r="O39" t="s">
        <v>531</v>
      </c>
    </row>
    <row r="40" spans="1:15">
      <c r="A40" s="22"/>
      <c r="B40" s="23"/>
      <c r="C40" s="23"/>
      <c r="D40" s="69"/>
      <c r="E40" s="8"/>
      <c r="N40" t="str">
        <v>粤VF3013</v>
      </c>
      <c r="O40" t="s">
        <v>532</v>
      </c>
    </row>
    <row r="41" spans="1:15">
      <c r="A41" s="22">
        <v>45929</v>
      </c>
      <c r="B41" s="23" t="s">
        <v>542</v>
      </c>
      <c r="C41" s="23">
        <v>322.06</v>
      </c>
      <c r="D41" s="69" t="str">
        <f t="shared" ref="D41:D53" si="5">IF(C41&gt;=200,"5.85",IF(C41&lt;200,"5.95"))</f>
        <v>5.85</v>
      </c>
      <c r="E41" s="8">
        <f t="shared" ref="E41:E53" si="6">INT(C41*D41)</f>
        <v>1884</v>
      </c>
      <c r="N41" t="str">
        <v>粤VR5212</v>
      </c>
      <c r="O41" t="s">
        <v>533</v>
      </c>
    </row>
    <row r="42" spans="1:15">
      <c r="A42" s="22">
        <v>45929</v>
      </c>
      <c r="B42" s="23" t="s">
        <v>556</v>
      </c>
      <c r="C42" s="23">
        <v>53.65</v>
      </c>
      <c r="D42" s="69" t="str">
        <f t="shared" si="5"/>
        <v>5.95</v>
      </c>
      <c r="E42" s="8">
        <f t="shared" si="6"/>
        <v>319</v>
      </c>
      <c r="N42" t="str">
        <v>粤VNM955</v>
      </c>
      <c r="O42" t="s">
        <v>534</v>
      </c>
    </row>
    <row r="43" spans="1:14">
      <c r="A43" s="22">
        <v>45929</v>
      </c>
      <c r="B43" s="23" t="s">
        <v>547</v>
      </c>
      <c r="C43" s="23">
        <v>214.08</v>
      </c>
      <c r="D43" s="69" t="str">
        <f t="shared" si="5"/>
        <v>5.85</v>
      </c>
      <c r="E43" s="8">
        <f t="shared" si="6"/>
        <v>1252</v>
      </c>
      <c r="N43">
        <v>0</v>
      </c>
    </row>
    <row r="44" spans="1:14">
      <c r="A44" s="22">
        <v>45929</v>
      </c>
      <c r="B44" s="23" t="s">
        <v>555</v>
      </c>
      <c r="C44" s="23">
        <v>86.13</v>
      </c>
      <c r="D44" s="69" t="str">
        <f t="shared" si="5"/>
        <v>5.95</v>
      </c>
      <c r="E44" s="8">
        <f t="shared" si="6"/>
        <v>512</v>
      </c>
      <c r="N44">
        <v>0</v>
      </c>
    </row>
    <row r="45" spans="1:14">
      <c r="A45" s="22">
        <v>45929</v>
      </c>
      <c r="B45" s="23" t="s">
        <v>541</v>
      </c>
      <c r="C45" s="23">
        <v>42.84</v>
      </c>
      <c r="D45" s="69" t="str">
        <f t="shared" si="5"/>
        <v>5.95</v>
      </c>
      <c r="E45" s="8">
        <f t="shared" si="6"/>
        <v>254</v>
      </c>
      <c r="N45">
        <v>0</v>
      </c>
    </row>
    <row r="46" spans="1:14">
      <c r="A46" s="22">
        <v>45929</v>
      </c>
      <c r="B46" s="23" t="s">
        <v>538</v>
      </c>
      <c r="C46" s="23">
        <v>142.45</v>
      </c>
      <c r="D46" s="69" t="str">
        <f t="shared" si="5"/>
        <v>5.95</v>
      </c>
      <c r="E46" s="8">
        <f t="shared" si="6"/>
        <v>847</v>
      </c>
      <c r="N46">
        <v>0</v>
      </c>
    </row>
    <row r="47" spans="1:14">
      <c r="A47" s="22">
        <v>45930</v>
      </c>
      <c r="B47" s="23" t="s">
        <v>538</v>
      </c>
      <c r="C47" s="23">
        <v>338.27</v>
      </c>
      <c r="D47" s="69" t="str">
        <f t="shared" si="5"/>
        <v>5.85</v>
      </c>
      <c r="E47" s="8">
        <f t="shared" si="6"/>
        <v>1978</v>
      </c>
      <c r="N47">
        <v>0</v>
      </c>
    </row>
    <row r="48" spans="1:14">
      <c r="A48" s="22">
        <v>45930</v>
      </c>
      <c r="B48" s="23" t="s">
        <v>561</v>
      </c>
      <c r="C48" s="23">
        <v>317.12</v>
      </c>
      <c r="D48" s="69" t="str">
        <f t="shared" si="5"/>
        <v>5.85</v>
      </c>
      <c r="E48" s="8">
        <f t="shared" si="6"/>
        <v>1855</v>
      </c>
      <c r="N48">
        <v>0</v>
      </c>
    </row>
    <row r="49" spans="1:14">
      <c r="A49" s="22">
        <v>45930</v>
      </c>
      <c r="B49" s="23" t="s">
        <v>536</v>
      </c>
      <c r="C49" s="23">
        <v>61.1</v>
      </c>
      <c r="D49" s="69" t="str">
        <f t="shared" si="5"/>
        <v>5.95</v>
      </c>
      <c r="E49" s="8">
        <f t="shared" si="6"/>
        <v>363</v>
      </c>
      <c r="N49">
        <v>0</v>
      </c>
    </row>
    <row r="50" spans="1:14">
      <c r="A50" s="22">
        <v>45930</v>
      </c>
      <c r="B50" s="23" t="s">
        <v>541</v>
      </c>
      <c r="C50" s="23">
        <v>37.93</v>
      </c>
      <c r="D50" s="69" t="str">
        <f t="shared" si="5"/>
        <v>5.95</v>
      </c>
      <c r="E50" s="8">
        <f t="shared" si="6"/>
        <v>225</v>
      </c>
      <c r="N50">
        <v>0</v>
      </c>
    </row>
    <row r="51" spans="1:14">
      <c r="A51" s="22">
        <v>45931</v>
      </c>
      <c r="B51" s="23" t="s">
        <v>552</v>
      </c>
      <c r="C51" s="23">
        <v>211.36</v>
      </c>
      <c r="D51" s="69" t="str">
        <f t="shared" si="5"/>
        <v>5.85</v>
      </c>
      <c r="E51" s="8">
        <f t="shared" si="6"/>
        <v>1236</v>
      </c>
      <c r="N51">
        <v>0</v>
      </c>
    </row>
    <row r="52" spans="1:14">
      <c r="A52" s="22">
        <v>45931</v>
      </c>
      <c r="B52" s="23" t="s">
        <v>556</v>
      </c>
      <c r="C52" s="23">
        <v>56.12</v>
      </c>
      <c r="D52" s="69" t="str">
        <f t="shared" si="5"/>
        <v>5.95</v>
      </c>
      <c r="E52" s="8">
        <f t="shared" si="6"/>
        <v>333</v>
      </c>
      <c r="N52">
        <v>0</v>
      </c>
    </row>
    <row r="53" spans="1:14">
      <c r="A53" s="22">
        <v>45931</v>
      </c>
      <c r="B53" s="23" t="s">
        <v>546</v>
      </c>
      <c r="C53" s="23">
        <v>249.33</v>
      </c>
      <c r="D53" s="69" t="str">
        <f t="shared" si="5"/>
        <v>5.85</v>
      </c>
      <c r="E53" s="8">
        <f t="shared" si="6"/>
        <v>1458</v>
      </c>
      <c r="N53">
        <v>0</v>
      </c>
    </row>
    <row r="54" spans="1:14">
      <c r="A54" s="22">
        <v>45932</v>
      </c>
      <c r="B54" s="23" t="s">
        <v>545</v>
      </c>
      <c r="C54" s="23">
        <v>277.33</v>
      </c>
      <c r="D54" s="69" t="str">
        <f t="shared" ref="D54:D67" si="7">IF(C54&gt;=200,"5.85",IF(C54&lt;200,"5.95"))</f>
        <v>5.85</v>
      </c>
      <c r="E54" s="8">
        <f t="shared" ref="E54:E67" si="8">INT(C54*D54)</f>
        <v>1622</v>
      </c>
      <c r="N54">
        <v>0</v>
      </c>
    </row>
    <row r="55" spans="1:14">
      <c r="A55" s="22">
        <v>45932</v>
      </c>
      <c r="B55" s="23" t="s">
        <v>547</v>
      </c>
      <c r="C55" s="23">
        <v>215.6</v>
      </c>
      <c r="D55" s="69" t="str">
        <f t="shared" si="7"/>
        <v>5.85</v>
      </c>
      <c r="E55" s="8">
        <f t="shared" si="8"/>
        <v>1261</v>
      </c>
      <c r="N55">
        <v>0</v>
      </c>
    </row>
    <row r="56" spans="1:14">
      <c r="A56" s="22">
        <v>45932</v>
      </c>
      <c r="B56" s="23" t="s">
        <v>539</v>
      </c>
      <c r="C56" s="23">
        <v>400</v>
      </c>
      <c r="D56" s="69" t="str">
        <f t="shared" si="7"/>
        <v>5.85</v>
      </c>
      <c r="E56" s="8">
        <f t="shared" si="8"/>
        <v>2340</v>
      </c>
      <c r="N56">
        <v>0</v>
      </c>
    </row>
    <row r="57" spans="1:5">
      <c r="A57" s="22">
        <v>45932</v>
      </c>
      <c r="B57" s="23" t="s">
        <v>562</v>
      </c>
      <c r="C57" s="23">
        <v>220.58</v>
      </c>
      <c r="D57" s="69" t="str">
        <f t="shared" si="7"/>
        <v>5.85</v>
      </c>
      <c r="E57" s="8">
        <f t="shared" si="8"/>
        <v>1290</v>
      </c>
    </row>
    <row r="58" spans="1:5">
      <c r="A58" s="22">
        <v>45932</v>
      </c>
      <c r="B58" s="23" t="s">
        <v>549</v>
      </c>
      <c r="C58" s="23">
        <v>53.94</v>
      </c>
      <c r="D58" s="69" t="str">
        <f t="shared" si="7"/>
        <v>5.95</v>
      </c>
      <c r="E58" s="8">
        <f t="shared" si="8"/>
        <v>320</v>
      </c>
    </row>
    <row r="59" spans="1:5">
      <c r="A59" s="22">
        <v>45932</v>
      </c>
      <c r="B59" s="23" t="s">
        <v>541</v>
      </c>
      <c r="C59" s="23">
        <v>229.22</v>
      </c>
      <c r="D59" s="69" t="str">
        <f t="shared" si="7"/>
        <v>5.85</v>
      </c>
      <c r="E59" s="8">
        <f t="shared" si="8"/>
        <v>1340</v>
      </c>
    </row>
    <row r="60" spans="1:5">
      <c r="A60" s="22">
        <v>45933</v>
      </c>
      <c r="B60" s="23" t="s">
        <v>541</v>
      </c>
      <c r="C60" s="23">
        <v>143.74</v>
      </c>
      <c r="D60" s="69" t="str">
        <f t="shared" si="7"/>
        <v>5.95</v>
      </c>
      <c r="E60" s="8">
        <f t="shared" si="8"/>
        <v>855</v>
      </c>
    </row>
    <row r="61" spans="1:5">
      <c r="A61" s="22">
        <v>45933</v>
      </c>
      <c r="B61" s="23" t="s">
        <v>538</v>
      </c>
      <c r="C61" s="23">
        <v>90.17</v>
      </c>
      <c r="D61" s="69" t="str">
        <f t="shared" si="7"/>
        <v>5.95</v>
      </c>
      <c r="E61" s="8">
        <f t="shared" si="8"/>
        <v>536</v>
      </c>
    </row>
    <row r="62" spans="1:5">
      <c r="A62" s="22">
        <v>45933</v>
      </c>
      <c r="B62" s="23" t="s">
        <v>549</v>
      </c>
      <c r="C62" s="23">
        <v>42.49</v>
      </c>
      <c r="D62" s="69" t="str">
        <f t="shared" si="7"/>
        <v>5.95</v>
      </c>
      <c r="E62" s="8">
        <f t="shared" si="8"/>
        <v>252</v>
      </c>
    </row>
    <row r="63" spans="1:5">
      <c r="A63" s="22">
        <v>45934</v>
      </c>
      <c r="B63" s="23" t="s">
        <v>541</v>
      </c>
      <c r="C63" s="23">
        <v>199.78</v>
      </c>
      <c r="D63" s="69" t="str">
        <f t="shared" si="7"/>
        <v>5.95</v>
      </c>
      <c r="E63" s="8">
        <f t="shared" si="8"/>
        <v>1188</v>
      </c>
    </row>
    <row r="64" spans="1:5">
      <c r="A64" s="22">
        <v>45934</v>
      </c>
      <c r="B64" s="23" t="s">
        <v>543</v>
      </c>
      <c r="C64" s="23">
        <v>84.85</v>
      </c>
      <c r="D64" s="69" t="str">
        <f t="shared" si="7"/>
        <v>5.95</v>
      </c>
      <c r="E64" s="8">
        <f t="shared" si="8"/>
        <v>504</v>
      </c>
    </row>
    <row r="65" spans="1:5">
      <c r="A65" s="22">
        <v>45934</v>
      </c>
      <c r="B65" s="23" t="s">
        <v>548</v>
      </c>
      <c r="C65" s="23">
        <v>304.87</v>
      </c>
      <c r="D65" s="69" t="str">
        <f t="shared" si="7"/>
        <v>5.85</v>
      </c>
      <c r="E65" s="8">
        <f t="shared" si="8"/>
        <v>1783</v>
      </c>
    </row>
    <row r="66" spans="1:5">
      <c r="A66" s="22">
        <v>45934</v>
      </c>
      <c r="B66" s="23" t="s">
        <v>559</v>
      </c>
      <c r="C66" s="23">
        <v>109.33</v>
      </c>
      <c r="D66" s="69" t="str">
        <f t="shared" si="7"/>
        <v>5.95</v>
      </c>
      <c r="E66" s="8">
        <f t="shared" si="8"/>
        <v>650</v>
      </c>
    </row>
    <row r="67" spans="1:5">
      <c r="A67" s="22">
        <v>45934</v>
      </c>
      <c r="B67" s="23" t="s">
        <v>542</v>
      </c>
      <c r="C67" s="23">
        <v>222</v>
      </c>
      <c r="D67" s="69" t="str">
        <f t="shared" si="7"/>
        <v>5.85</v>
      </c>
      <c r="E67" s="8">
        <f t="shared" si="8"/>
        <v>1298</v>
      </c>
    </row>
    <row r="68" spans="4:6">
      <c r="D68" s="69"/>
      <c r="E68" s="8"/>
      <c r="F68">
        <f>SUM(E54:E67)</f>
        <v>15239</v>
      </c>
    </row>
    <row r="69" spans="1:5">
      <c r="A69" s="22">
        <v>45935</v>
      </c>
      <c r="B69" s="23" t="s">
        <v>560</v>
      </c>
      <c r="C69" s="23">
        <v>229.9</v>
      </c>
      <c r="D69" s="69" t="str">
        <f t="shared" ref="D68:D85" si="9">IF(C69&gt;=200,"5.85",IF(C69&lt;200,"5.95"))</f>
        <v>5.85</v>
      </c>
      <c r="E69" s="8">
        <f t="shared" ref="E68:E85" si="10">INT(C69*D69)</f>
        <v>1344</v>
      </c>
    </row>
    <row r="70" spans="1:5">
      <c r="A70" s="22">
        <v>45935</v>
      </c>
      <c r="B70" s="23" t="s">
        <v>544</v>
      </c>
      <c r="C70" s="23">
        <v>306.3</v>
      </c>
      <c r="D70" s="69" t="str">
        <f t="shared" si="9"/>
        <v>5.85</v>
      </c>
      <c r="E70" s="8">
        <f t="shared" si="10"/>
        <v>1791</v>
      </c>
    </row>
    <row r="71" spans="1:5">
      <c r="A71" s="22">
        <v>45935</v>
      </c>
      <c r="B71" s="23" t="s">
        <v>538</v>
      </c>
      <c r="C71" s="23">
        <v>41.32</v>
      </c>
      <c r="D71" s="69" t="str">
        <f t="shared" si="9"/>
        <v>5.95</v>
      </c>
      <c r="E71" s="8">
        <f t="shared" si="10"/>
        <v>245</v>
      </c>
    </row>
    <row r="72" spans="1:5">
      <c r="A72" s="22">
        <v>45936</v>
      </c>
      <c r="B72" s="23" t="s">
        <v>542</v>
      </c>
      <c r="C72" s="23">
        <v>280.77</v>
      </c>
      <c r="D72" s="69" t="str">
        <f t="shared" si="9"/>
        <v>5.85</v>
      </c>
      <c r="E72" s="8">
        <f t="shared" si="10"/>
        <v>1642</v>
      </c>
    </row>
    <row r="73" spans="1:5">
      <c r="A73" s="22">
        <v>45937</v>
      </c>
      <c r="B73" s="23" t="s">
        <v>535</v>
      </c>
      <c r="C73" s="23">
        <v>184.83</v>
      </c>
      <c r="D73" s="69" t="str">
        <f t="shared" si="9"/>
        <v>5.95</v>
      </c>
      <c r="E73" s="8">
        <f t="shared" si="10"/>
        <v>1099</v>
      </c>
    </row>
    <row r="74" spans="1:5">
      <c r="A74" s="22">
        <v>45937</v>
      </c>
      <c r="B74" s="23" t="s">
        <v>554</v>
      </c>
      <c r="C74" s="23">
        <v>96.74</v>
      </c>
      <c r="D74" s="69" t="str">
        <f t="shared" si="9"/>
        <v>5.95</v>
      </c>
      <c r="E74" s="8">
        <f t="shared" si="10"/>
        <v>575</v>
      </c>
    </row>
    <row r="75" spans="1:5">
      <c r="A75" s="22">
        <v>45938</v>
      </c>
      <c r="B75" s="23" t="s">
        <v>547</v>
      </c>
      <c r="C75" s="23">
        <v>218.01</v>
      </c>
      <c r="D75" s="69" t="str">
        <f t="shared" si="9"/>
        <v>5.85</v>
      </c>
      <c r="E75" s="8">
        <f t="shared" si="10"/>
        <v>1275</v>
      </c>
    </row>
    <row r="76" spans="1:5">
      <c r="A76" s="22">
        <v>45939</v>
      </c>
      <c r="B76" s="23" t="s">
        <v>553</v>
      </c>
      <c r="C76" s="23">
        <v>200.01</v>
      </c>
      <c r="D76" s="69" t="str">
        <f t="shared" si="9"/>
        <v>5.85</v>
      </c>
      <c r="E76" s="8">
        <f t="shared" si="10"/>
        <v>1170</v>
      </c>
    </row>
    <row r="77" spans="1:5">
      <c r="A77" s="22">
        <v>45939</v>
      </c>
      <c r="B77" s="23" t="s">
        <v>551</v>
      </c>
      <c r="C77" s="23">
        <v>292.13</v>
      </c>
      <c r="D77" s="69" t="str">
        <f t="shared" si="9"/>
        <v>5.85</v>
      </c>
      <c r="E77" s="8">
        <f t="shared" si="10"/>
        <v>1708</v>
      </c>
    </row>
    <row r="78" spans="1:5">
      <c r="A78" s="22">
        <v>45939</v>
      </c>
      <c r="B78" s="23" t="s">
        <v>542</v>
      </c>
      <c r="C78" s="23">
        <v>283.24</v>
      </c>
      <c r="D78" s="69" t="str">
        <f t="shared" si="9"/>
        <v>5.85</v>
      </c>
      <c r="E78" s="8">
        <f t="shared" si="10"/>
        <v>1656</v>
      </c>
    </row>
    <row r="79" spans="1:5">
      <c r="A79" s="22">
        <v>45939</v>
      </c>
      <c r="B79" s="23" t="s">
        <v>563</v>
      </c>
      <c r="C79" s="23">
        <v>226.42</v>
      </c>
      <c r="D79" s="69" t="str">
        <f t="shared" si="9"/>
        <v>5.85</v>
      </c>
      <c r="E79" s="8">
        <f t="shared" si="10"/>
        <v>1324</v>
      </c>
    </row>
    <row r="80" spans="1:5">
      <c r="A80" s="22">
        <v>45939</v>
      </c>
      <c r="B80" s="23" t="s">
        <v>558</v>
      </c>
      <c r="C80" s="23">
        <v>133.96</v>
      </c>
      <c r="D80" s="69" t="str">
        <f t="shared" si="9"/>
        <v>5.95</v>
      </c>
      <c r="E80" s="8">
        <f t="shared" si="10"/>
        <v>797</v>
      </c>
    </row>
    <row r="81" spans="1:5">
      <c r="A81" s="22">
        <v>45940</v>
      </c>
      <c r="B81" s="23" t="s">
        <v>564</v>
      </c>
      <c r="C81" s="23">
        <v>241.21</v>
      </c>
      <c r="D81" s="69" t="str">
        <f t="shared" si="9"/>
        <v>5.85</v>
      </c>
      <c r="E81" s="8">
        <f t="shared" si="10"/>
        <v>1411</v>
      </c>
    </row>
    <row r="82" spans="1:5">
      <c r="A82" s="22">
        <v>45940</v>
      </c>
      <c r="B82" s="23" t="s">
        <v>552</v>
      </c>
      <c r="C82" s="23">
        <v>220.23</v>
      </c>
      <c r="D82" s="69" t="str">
        <f t="shared" si="9"/>
        <v>5.85</v>
      </c>
      <c r="E82" s="8">
        <f t="shared" si="10"/>
        <v>1288</v>
      </c>
    </row>
    <row r="83" spans="1:5">
      <c r="A83" s="22">
        <v>45940</v>
      </c>
      <c r="B83" s="23" t="s">
        <v>543</v>
      </c>
      <c r="C83" s="23">
        <v>78.1</v>
      </c>
      <c r="D83" s="69" t="str">
        <f t="shared" si="9"/>
        <v>5.95</v>
      </c>
      <c r="E83" s="8">
        <f t="shared" si="10"/>
        <v>464</v>
      </c>
    </row>
    <row r="84" spans="1:5">
      <c r="A84" s="22">
        <v>45940</v>
      </c>
      <c r="B84" s="23" t="s">
        <v>565</v>
      </c>
      <c r="C84" s="23">
        <v>282.06</v>
      </c>
      <c r="D84" s="69" t="str">
        <f t="shared" si="9"/>
        <v>5.85</v>
      </c>
      <c r="E84" s="8">
        <f t="shared" si="10"/>
        <v>1650</v>
      </c>
    </row>
    <row r="85" spans="1:5">
      <c r="A85" s="22">
        <v>45940</v>
      </c>
      <c r="B85" s="23" t="s">
        <v>540</v>
      </c>
      <c r="C85" s="23">
        <v>204.73</v>
      </c>
      <c r="D85" s="69" t="str">
        <f t="shared" si="9"/>
        <v>5.85</v>
      </c>
      <c r="E85" s="8">
        <f t="shared" si="10"/>
        <v>1197</v>
      </c>
    </row>
    <row r="86" spans="4:6">
      <c r="D86" s="69"/>
      <c r="E86" s="8">
        <f t="shared" ref="E86:E92" si="11">INT(C86*D86)</f>
        <v>0</v>
      </c>
      <c r="F86">
        <f>SUM(E69:E85)</f>
        <v>20636</v>
      </c>
    </row>
    <row r="87" spans="1:5">
      <c r="A87" s="22">
        <v>45941</v>
      </c>
      <c r="B87" s="23" t="s">
        <v>501</v>
      </c>
      <c r="C87" s="23">
        <v>224.53</v>
      </c>
      <c r="D87" s="69" t="str">
        <f t="shared" ref="D87:D92" si="12">IF(C87&gt;=200,"5.75",IF(C87&lt;200,"5.95"))</f>
        <v>5.75</v>
      </c>
      <c r="E87" s="8">
        <f t="shared" si="11"/>
        <v>1291</v>
      </c>
    </row>
    <row r="88" spans="1:5">
      <c r="A88" s="22">
        <v>45941</v>
      </c>
      <c r="B88" s="23" t="s">
        <v>534</v>
      </c>
      <c r="C88" s="23">
        <v>108.52</v>
      </c>
      <c r="D88" s="69" t="str">
        <f t="shared" si="12"/>
        <v>5.95</v>
      </c>
      <c r="E88" s="8">
        <f t="shared" si="11"/>
        <v>645</v>
      </c>
    </row>
    <row r="89" spans="1:5">
      <c r="A89" s="22">
        <v>45942</v>
      </c>
      <c r="B89" s="23" t="s">
        <v>526</v>
      </c>
      <c r="C89" s="23">
        <v>101.98</v>
      </c>
      <c r="D89" s="69" t="str">
        <f t="shared" si="12"/>
        <v>5.95</v>
      </c>
      <c r="E89" s="8">
        <f t="shared" si="11"/>
        <v>606</v>
      </c>
    </row>
    <row r="90" spans="1:5">
      <c r="A90" s="22">
        <v>45942</v>
      </c>
      <c r="B90" s="23" t="s">
        <v>524</v>
      </c>
      <c r="C90" s="23">
        <v>56.67</v>
      </c>
      <c r="D90" s="69" t="str">
        <f t="shared" si="12"/>
        <v>5.95</v>
      </c>
      <c r="E90" s="8">
        <f t="shared" si="11"/>
        <v>337</v>
      </c>
    </row>
    <row r="91" spans="1:5">
      <c r="A91" s="22">
        <v>45943</v>
      </c>
      <c r="B91" s="23" t="s">
        <v>506</v>
      </c>
      <c r="C91" s="23">
        <v>222.24</v>
      </c>
      <c r="D91" s="69" t="str">
        <f t="shared" si="12"/>
        <v>5.75</v>
      </c>
      <c r="E91" s="8">
        <f t="shared" si="11"/>
        <v>1277</v>
      </c>
    </row>
    <row r="92" spans="1:5">
      <c r="A92" s="22">
        <v>45943</v>
      </c>
      <c r="B92" s="23" t="s">
        <v>499</v>
      </c>
      <c r="C92" s="23">
        <v>369.73</v>
      </c>
      <c r="D92" s="69" t="str">
        <f t="shared" si="12"/>
        <v>5.75</v>
      </c>
      <c r="E92" s="8">
        <f t="shared" si="11"/>
        <v>2125</v>
      </c>
    </row>
    <row r="93" spans="5:5">
      <c r="E93">
        <f>SUM(E87:E92)</f>
        <v>6281</v>
      </c>
    </row>
  </sheetData>
  <conditionalFormatting sqref="H3:H8">
    <cfRule type="duplicateValues" dxfId="1" priority="1"/>
  </conditionalFormatting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M56"/>
  <sheetViews>
    <sheetView workbookViewId="0">
      <selection activeCell="A18" sqref="A18:E20"/>
    </sheetView>
  </sheetViews>
  <sheetFormatPr defaultColWidth="9" defaultRowHeight="14.25"/>
  <cols>
    <col min="1" max="1" width="10.5333333333333" customWidth="1"/>
  </cols>
  <sheetData>
    <row r="1" ht="22.5" spans="1:13">
      <c r="A1" s="38" t="s">
        <v>0</v>
      </c>
      <c r="B1" s="39" t="s">
        <v>566</v>
      </c>
      <c r="C1" s="53"/>
      <c r="D1" s="26"/>
      <c r="E1" s="26" t="s">
        <v>2</v>
      </c>
      <c r="F1" s="54"/>
      <c r="G1" s="44"/>
      <c r="H1" s="55"/>
      <c r="L1" t="str" cm="1">
        <f t="array" ref="L1:L56">_xlfn.TOCOL(A2:G9)</f>
        <v>粤V9Q332</v>
      </c>
      <c r="M1" t="s">
        <v>567</v>
      </c>
    </row>
    <row r="2" spans="1:13">
      <c r="A2" s="45" t="s">
        <v>567</v>
      </c>
      <c r="B2" s="56" t="s">
        <v>568</v>
      </c>
      <c r="C2" s="45" t="s">
        <v>569</v>
      </c>
      <c r="D2" s="45" t="s">
        <v>570</v>
      </c>
      <c r="E2" s="45" t="s">
        <v>571</v>
      </c>
      <c r="F2" s="13" t="s">
        <v>572</v>
      </c>
      <c r="G2" s="13" t="s">
        <v>573</v>
      </c>
      <c r="H2" s="57"/>
      <c r="L2" t="str">
        <v>粤V2M625</v>
      </c>
      <c r="M2" t="s">
        <v>568</v>
      </c>
    </row>
    <row r="3" spans="1:13">
      <c r="A3" s="14"/>
      <c r="B3" s="8"/>
      <c r="C3" s="8"/>
      <c r="D3" s="8"/>
      <c r="E3" s="8"/>
      <c r="F3" s="8"/>
      <c r="G3" s="8"/>
      <c r="H3" s="58"/>
      <c r="L3" t="str">
        <v>粤VZA550</v>
      </c>
      <c r="M3" t="s">
        <v>569</v>
      </c>
    </row>
    <row r="4" spans="1:13">
      <c r="A4" s="14"/>
      <c r="B4" s="45"/>
      <c r="C4" s="56"/>
      <c r="D4" s="45"/>
      <c r="E4" s="45"/>
      <c r="F4" s="45"/>
      <c r="G4" s="13"/>
      <c r="H4" s="57"/>
      <c r="L4" t="str">
        <v>粤D072F9</v>
      </c>
      <c r="M4" t="s">
        <v>570</v>
      </c>
    </row>
    <row r="5" spans="1:13">
      <c r="A5" s="14"/>
      <c r="B5" s="45"/>
      <c r="C5" s="56"/>
      <c r="D5" s="45"/>
      <c r="E5" s="45"/>
      <c r="F5" s="45"/>
      <c r="G5" s="13"/>
      <c r="H5" s="57"/>
      <c r="K5" s="59"/>
      <c r="L5" t="str">
        <v>粤V76689</v>
      </c>
      <c r="M5" t="s">
        <v>571</v>
      </c>
    </row>
    <row r="6" spans="1:13">
      <c r="A6" s="14"/>
      <c r="B6" s="45"/>
      <c r="C6" s="56"/>
      <c r="D6" s="47"/>
      <c r="E6" s="45"/>
      <c r="F6" s="47"/>
      <c r="G6" s="13"/>
      <c r="H6" s="57"/>
      <c r="K6" s="60"/>
      <c r="L6" t="str">
        <v>粤V6P518</v>
      </c>
      <c r="M6" t="s">
        <v>572</v>
      </c>
    </row>
    <row r="7" spans="1:13">
      <c r="A7" s="14"/>
      <c r="B7" s="45"/>
      <c r="C7" s="56"/>
      <c r="D7" s="45"/>
      <c r="E7" s="45"/>
      <c r="F7" s="45"/>
      <c r="G7" s="13"/>
      <c r="H7" s="57"/>
      <c r="K7" s="59"/>
      <c r="L7" t="str">
        <v>闽EK6271</v>
      </c>
      <c r="M7" t="s">
        <v>573</v>
      </c>
    </row>
    <row r="8" spans="1:12">
      <c r="A8" s="14"/>
      <c r="B8" s="47"/>
      <c r="C8" s="56"/>
      <c r="D8" s="47"/>
      <c r="E8" s="45"/>
      <c r="F8" s="45"/>
      <c r="G8" s="13"/>
      <c r="H8" s="57"/>
      <c r="K8" s="59"/>
      <c r="L8">
        <v>0</v>
      </c>
    </row>
    <row r="9" spans="1:12">
      <c r="A9" s="14"/>
      <c r="B9" s="45"/>
      <c r="C9" s="56"/>
      <c r="D9" s="45"/>
      <c r="E9" s="34"/>
      <c r="F9" s="34"/>
      <c r="G9" s="13"/>
      <c r="H9" s="57"/>
      <c r="K9" s="59"/>
      <c r="L9">
        <v>0</v>
      </c>
    </row>
    <row r="10" spans="1:12">
      <c r="A10" s="30"/>
      <c r="L10">
        <v>0</v>
      </c>
    </row>
    <row r="11" spans="1:12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22">
        <v>45923</v>
      </c>
      <c r="B12" s="23" t="s">
        <v>574</v>
      </c>
      <c r="C12" s="23">
        <v>156.63</v>
      </c>
      <c r="D12" s="8">
        <v>5.95</v>
      </c>
      <c r="E12" s="8">
        <f t="shared" ref="E12:E19" si="0">INT(C12*D12)</f>
        <v>931</v>
      </c>
      <c r="L12">
        <v>0</v>
      </c>
    </row>
    <row r="13" spans="1:12">
      <c r="A13" s="22">
        <v>45925</v>
      </c>
      <c r="B13" s="23" t="s">
        <v>575</v>
      </c>
      <c r="C13" s="23">
        <v>73.97</v>
      </c>
      <c r="D13" s="8">
        <v>5.95</v>
      </c>
      <c r="E13" s="8">
        <f t="shared" si="0"/>
        <v>440</v>
      </c>
      <c r="L13">
        <v>0</v>
      </c>
    </row>
    <row r="14" spans="1:12">
      <c r="A14" s="22">
        <v>45926</v>
      </c>
      <c r="B14" s="23" t="s">
        <v>576</v>
      </c>
      <c r="C14" s="23">
        <v>215</v>
      </c>
      <c r="D14" s="8">
        <v>5.95</v>
      </c>
      <c r="E14" s="8">
        <f t="shared" si="0"/>
        <v>1279</v>
      </c>
      <c r="L14">
        <v>0</v>
      </c>
    </row>
    <row r="15" spans="1:12">
      <c r="A15" s="22">
        <v>45927</v>
      </c>
      <c r="B15" s="23" t="s">
        <v>577</v>
      </c>
      <c r="C15" s="23">
        <v>171.54</v>
      </c>
      <c r="D15" s="8">
        <v>5.95</v>
      </c>
      <c r="E15" s="8">
        <f t="shared" si="0"/>
        <v>1020</v>
      </c>
      <c r="L15">
        <v>0</v>
      </c>
    </row>
    <row r="16" spans="1:12">
      <c r="A16" s="22">
        <v>45927</v>
      </c>
      <c r="B16" s="23" t="s">
        <v>578</v>
      </c>
      <c r="C16" s="23">
        <v>101.23</v>
      </c>
      <c r="D16" s="8">
        <v>5.95</v>
      </c>
      <c r="E16" s="8">
        <f t="shared" si="0"/>
        <v>602</v>
      </c>
      <c r="L16">
        <v>0</v>
      </c>
    </row>
    <row r="17" spans="5:12">
      <c r="E17" s="8">
        <f t="shared" si="0"/>
        <v>0</v>
      </c>
      <c r="L17">
        <v>0</v>
      </c>
    </row>
    <row r="18" spans="1:12">
      <c r="A18" s="22">
        <v>45941</v>
      </c>
      <c r="B18" s="23" t="s">
        <v>571</v>
      </c>
      <c r="C18" s="23">
        <v>149.95</v>
      </c>
      <c r="D18" s="8">
        <v>5.95</v>
      </c>
      <c r="E18" s="8">
        <f t="shared" si="0"/>
        <v>892</v>
      </c>
      <c r="L18">
        <v>0</v>
      </c>
    </row>
    <row r="19" spans="1:12">
      <c r="A19" s="22">
        <v>45942</v>
      </c>
      <c r="B19" s="23" t="s">
        <v>573</v>
      </c>
      <c r="C19" s="23">
        <v>289</v>
      </c>
      <c r="D19" s="8">
        <v>5.75</v>
      </c>
      <c r="E19" s="8">
        <f t="shared" si="0"/>
        <v>1661</v>
      </c>
      <c r="L19">
        <v>0</v>
      </c>
    </row>
    <row r="20" spans="5:12">
      <c r="E20">
        <f>SUM(E18:E19)</f>
        <v>2553</v>
      </c>
      <c r="L20">
        <v>0</v>
      </c>
    </row>
    <row r="21" spans="12:12">
      <c r="L21">
        <v>0</v>
      </c>
    </row>
    <row r="22" spans="12:12">
      <c r="L22">
        <v>0</v>
      </c>
    </row>
    <row r="23" spans="12:12">
      <c r="L23">
        <v>0</v>
      </c>
    </row>
    <row r="24" spans="12:12">
      <c r="L24">
        <v>0</v>
      </c>
    </row>
    <row r="25" spans="12:12">
      <c r="L25">
        <v>0</v>
      </c>
    </row>
    <row r="26" spans="12:12">
      <c r="L26">
        <v>0</v>
      </c>
    </row>
    <row r="27" spans="12:12">
      <c r="L27">
        <v>0</v>
      </c>
    </row>
    <row r="28" spans="12:12">
      <c r="L28">
        <v>0</v>
      </c>
    </row>
    <row r="29" spans="12:12">
      <c r="L29">
        <v>0</v>
      </c>
    </row>
    <row r="30" spans="12:12"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M56"/>
  <sheetViews>
    <sheetView workbookViewId="0">
      <selection activeCell="A24" sqref="A24:E24"/>
    </sheetView>
  </sheetViews>
  <sheetFormatPr defaultColWidth="9" defaultRowHeight="14.25"/>
  <cols>
    <col min="1" max="1" width="10.2" customWidth="1"/>
  </cols>
  <sheetData>
    <row r="1" ht="20.25" spans="1:13">
      <c r="A1" s="1" t="s">
        <v>0</v>
      </c>
      <c r="B1" s="24" t="s">
        <v>579</v>
      </c>
      <c r="C1" s="25"/>
      <c r="D1" s="13"/>
      <c r="E1" s="49">
        <v>5.95</v>
      </c>
      <c r="F1" s="6"/>
      <c r="G1" s="7"/>
      <c r="L1" t="str" cm="1">
        <f t="array" ref="L1:L56">_xlfn.TOCOL(A2:G9)</f>
        <v>粤V02H51</v>
      </c>
      <c r="M1" t="s">
        <v>580</v>
      </c>
    </row>
    <row r="2" spans="1:13">
      <c r="A2" s="50" t="s">
        <v>580</v>
      </c>
      <c r="B2" s="5" t="s">
        <v>581</v>
      </c>
      <c r="C2" s="51" t="s">
        <v>582</v>
      </c>
      <c r="D2" s="5" t="s">
        <v>583</v>
      </c>
      <c r="E2" s="5" t="s">
        <v>584</v>
      </c>
      <c r="F2" s="8" t="s">
        <v>585</v>
      </c>
      <c r="G2" s="8"/>
      <c r="L2" t="str">
        <v>粤VTP983</v>
      </c>
      <c r="M2" t="s">
        <v>581</v>
      </c>
    </row>
    <row r="3" spans="1:13">
      <c r="A3" s="12"/>
      <c r="B3" s="8"/>
      <c r="C3" s="8"/>
      <c r="D3" s="13"/>
      <c r="E3" s="10"/>
      <c r="F3" s="13"/>
      <c r="G3" s="13"/>
      <c r="L3" t="str">
        <v>粤V62M93</v>
      </c>
      <c r="M3" t="s">
        <v>582</v>
      </c>
    </row>
    <row r="4" spans="1:13">
      <c r="A4" s="13"/>
      <c r="B4" s="13"/>
      <c r="C4" s="13"/>
      <c r="D4" s="13"/>
      <c r="E4" s="15"/>
      <c r="F4" s="13"/>
      <c r="G4" s="13"/>
      <c r="L4" t="str">
        <v>粤V9U712</v>
      </c>
      <c r="M4" t="s">
        <v>583</v>
      </c>
    </row>
    <row r="5" spans="1:13">
      <c r="A5" s="14"/>
      <c r="B5" s="13"/>
      <c r="C5" s="15"/>
      <c r="D5" s="13"/>
      <c r="E5" s="10"/>
      <c r="F5" s="13"/>
      <c r="G5" s="13"/>
      <c r="L5" t="str">
        <v>粤V91280</v>
      </c>
      <c r="M5" t="s">
        <v>584</v>
      </c>
    </row>
    <row r="6" spans="1:13">
      <c r="A6" s="14"/>
      <c r="B6" s="13"/>
      <c r="C6" s="15"/>
      <c r="D6" s="13"/>
      <c r="E6" s="10"/>
      <c r="F6" s="13"/>
      <c r="G6" s="13"/>
      <c r="L6" t="str">
        <v>粤VND073</v>
      </c>
      <c r="M6" t="s">
        <v>585</v>
      </c>
    </row>
    <row r="7" spans="1:12">
      <c r="A7" s="14"/>
      <c r="B7" s="13"/>
      <c r="C7" s="15"/>
      <c r="D7" s="13"/>
      <c r="E7" s="10"/>
      <c r="F7" s="13"/>
      <c r="G7" s="13"/>
      <c r="L7">
        <v>0</v>
      </c>
    </row>
    <row r="8" spans="1:12">
      <c r="A8" s="14"/>
      <c r="B8" s="13"/>
      <c r="C8" s="15"/>
      <c r="D8" s="13"/>
      <c r="E8" s="10"/>
      <c r="F8" s="13"/>
      <c r="G8" s="13"/>
      <c r="L8">
        <v>0</v>
      </c>
    </row>
    <row r="9" spans="1:12">
      <c r="A9" s="14"/>
      <c r="B9" s="13"/>
      <c r="C9" s="15"/>
      <c r="D9" s="13"/>
      <c r="E9" s="10"/>
      <c r="F9" s="13"/>
      <c r="G9" s="13"/>
      <c r="L9">
        <v>0</v>
      </c>
    </row>
    <row r="10" spans="1:12">
      <c r="A10" s="30"/>
      <c r="E10" s="52"/>
      <c r="L10">
        <v>0</v>
      </c>
    </row>
    <row r="11" spans="1:12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22">
        <v>45923</v>
      </c>
      <c r="B12" s="23" t="s">
        <v>586</v>
      </c>
      <c r="C12" s="23">
        <v>61.29</v>
      </c>
      <c r="D12" s="8">
        <v>5.95</v>
      </c>
      <c r="E12" s="8">
        <f>INT(C12*D12)</f>
        <v>364</v>
      </c>
      <c r="L12">
        <v>0</v>
      </c>
    </row>
    <row r="13" spans="1:12">
      <c r="A13" s="22">
        <v>45925</v>
      </c>
      <c r="B13" s="23" t="s">
        <v>586</v>
      </c>
      <c r="C13" s="23">
        <v>54.86</v>
      </c>
      <c r="D13" s="8">
        <v>5.95</v>
      </c>
      <c r="E13" s="8">
        <f>INT(C13*D13)</f>
        <v>326</v>
      </c>
      <c r="L13">
        <v>0</v>
      </c>
    </row>
    <row r="14" spans="1:12">
      <c r="A14" s="22">
        <v>45927</v>
      </c>
      <c r="B14" s="23" t="s">
        <v>586</v>
      </c>
      <c r="C14" s="23">
        <v>55.9</v>
      </c>
      <c r="D14" s="8">
        <v>5.95</v>
      </c>
      <c r="E14" s="8">
        <f>INT(C14*D14)</f>
        <v>332</v>
      </c>
      <c r="L14">
        <v>0</v>
      </c>
    </row>
    <row r="15" spans="1:12">
      <c r="A15" s="22"/>
      <c r="B15" s="23"/>
      <c r="C15" s="23"/>
      <c r="D15" s="8"/>
      <c r="E15" s="8"/>
      <c r="L15">
        <v>0</v>
      </c>
    </row>
    <row r="16" spans="1:12">
      <c r="A16" s="22">
        <v>45929</v>
      </c>
      <c r="B16" s="23" t="s">
        <v>586</v>
      </c>
      <c r="C16" s="23">
        <v>52.59</v>
      </c>
      <c r="D16" s="8">
        <v>5.95</v>
      </c>
      <c r="E16" s="8">
        <f>INT(C16*D16)</f>
        <v>312</v>
      </c>
      <c r="L16">
        <v>0</v>
      </c>
    </row>
    <row r="17" spans="1:12">
      <c r="A17" s="22">
        <v>45931</v>
      </c>
      <c r="B17" s="23" t="s">
        <v>586</v>
      </c>
      <c r="C17" s="23">
        <v>54.65</v>
      </c>
      <c r="D17" s="8">
        <v>5.95</v>
      </c>
      <c r="E17" s="8">
        <f>INT(C17*D17)</f>
        <v>325</v>
      </c>
      <c r="L17">
        <v>0</v>
      </c>
    </row>
    <row r="18" spans="1:12">
      <c r="A18" s="22">
        <v>45933</v>
      </c>
      <c r="B18" s="23" t="s">
        <v>586</v>
      </c>
      <c r="C18" s="23">
        <v>51.26</v>
      </c>
      <c r="D18" s="8">
        <v>5.95</v>
      </c>
      <c r="E18" s="8">
        <f>INT(C18*D18)</f>
        <v>304</v>
      </c>
      <c r="L18">
        <v>0</v>
      </c>
    </row>
    <row r="19" spans="4:12">
      <c r="D19" s="8"/>
      <c r="E19" s="8"/>
      <c r="L19">
        <v>0</v>
      </c>
    </row>
    <row r="20" spans="1:12">
      <c r="A20" s="22">
        <v>45935</v>
      </c>
      <c r="B20" s="23" t="s">
        <v>586</v>
      </c>
      <c r="C20" s="23">
        <v>57.61</v>
      </c>
      <c r="D20" s="8">
        <v>5.95</v>
      </c>
      <c r="E20" s="8">
        <f>INT(C20*D20)</f>
        <v>342</v>
      </c>
      <c r="L20">
        <v>0</v>
      </c>
    </row>
    <row r="21" spans="1:12">
      <c r="A21" s="22">
        <v>45938</v>
      </c>
      <c r="B21" s="23" t="s">
        <v>586</v>
      </c>
      <c r="C21" s="23">
        <v>69.01</v>
      </c>
      <c r="D21" s="8">
        <v>5.95</v>
      </c>
      <c r="E21" s="8">
        <f>INT(C21*D21)</f>
        <v>410</v>
      </c>
      <c r="L21">
        <v>0</v>
      </c>
    </row>
    <row r="22" spans="1:12">
      <c r="A22" s="22">
        <v>45940</v>
      </c>
      <c r="B22" s="23" t="s">
        <v>586</v>
      </c>
      <c r="C22" s="23">
        <v>63.93</v>
      </c>
      <c r="D22" s="8">
        <v>5.95</v>
      </c>
      <c r="E22" s="8">
        <f>INT(C22*D22)</f>
        <v>380</v>
      </c>
      <c r="L22">
        <v>0</v>
      </c>
    </row>
    <row r="23" spans="5:12">
      <c r="E23" s="8"/>
      <c r="F23">
        <f>SUM(E20:E22)</f>
        <v>1132</v>
      </c>
      <c r="L23">
        <v>0</v>
      </c>
    </row>
    <row r="24" spans="1:12">
      <c r="A24" s="22">
        <v>45942</v>
      </c>
      <c r="B24" s="23" t="s">
        <v>582</v>
      </c>
      <c r="C24" s="23">
        <v>64.79</v>
      </c>
      <c r="D24" s="8">
        <v>5.95</v>
      </c>
      <c r="E24" s="8">
        <f>INT(C24*D24)</f>
        <v>385</v>
      </c>
      <c r="L24">
        <v>0</v>
      </c>
    </row>
    <row r="25" spans="12:12">
      <c r="L25">
        <v>0</v>
      </c>
    </row>
    <row r="26" spans="12:12">
      <c r="L26">
        <v>0</v>
      </c>
    </row>
    <row r="27" spans="12:12">
      <c r="L27">
        <v>0</v>
      </c>
    </row>
    <row r="28" spans="12:12">
      <c r="L28">
        <v>0</v>
      </c>
    </row>
    <row r="29" spans="12:12">
      <c r="L29">
        <v>0</v>
      </c>
    </row>
    <row r="30" spans="12:12">
      <c r="L30">
        <v>0</v>
      </c>
    </row>
    <row r="31" spans="12:12"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mergeCells count="1">
    <mergeCell ref="B1:C1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L4" sqref="L4"/>
    </sheetView>
  </sheetViews>
  <sheetFormatPr defaultColWidth="9" defaultRowHeight="14.25"/>
  <sheetData>
    <row r="1" ht="22.5" spans="1:8">
      <c r="A1" s="38" t="s">
        <v>0</v>
      </c>
      <c r="B1" s="39" t="s">
        <v>587</v>
      </c>
      <c r="C1" s="40"/>
      <c r="D1" s="5"/>
      <c r="E1" s="41">
        <v>5.85</v>
      </c>
      <c r="F1" s="42"/>
      <c r="G1" s="43"/>
      <c r="H1" s="44"/>
    </row>
    <row r="2" spans="1:8">
      <c r="A2" s="45" t="s">
        <v>588</v>
      </c>
      <c r="B2" s="13"/>
      <c r="C2" s="13"/>
      <c r="D2" s="13"/>
      <c r="E2" s="13"/>
      <c r="F2" s="13"/>
      <c r="G2" s="46"/>
      <c r="H2" s="46"/>
    </row>
    <row r="3" spans="1:8">
      <c r="A3" s="14"/>
      <c r="C3" s="45"/>
      <c r="D3" s="45"/>
      <c r="E3" s="45"/>
      <c r="F3" s="45"/>
      <c r="G3" s="46"/>
      <c r="H3" s="46"/>
    </row>
    <row r="4" spans="1:12">
      <c r="A4" s="14"/>
      <c r="B4" s="13"/>
      <c r="C4" s="13"/>
      <c r="D4" s="13"/>
      <c r="E4" s="13"/>
      <c r="F4" s="15"/>
      <c r="G4" s="46"/>
      <c r="H4" s="46"/>
      <c r="L4" s="45" t="s">
        <v>588</v>
      </c>
    </row>
    <row r="5" spans="1:8">
      <c r="A5" s="14"/>
      <c r="B5" s="8"/>
      <c r="C5" s="45"/>
      <c r="D5" s="45"/>
      <c r="E5" s="45"/>
      <c r="F5" s="45"/>
      <c r="G5" s="46"/>
      <c r="H5" s="46"/>
    </row>
    <row r="6" spans="1:8">
      <c r="A6" s="14"/>
      <c r="B6" s="45"/>
      <c r="C6" s="45"/>
      <c r="D6" s="47"/>
      <c r="E6" s="45"/>
      <c r="F6" s="47"/>
      <c r="G6" s="46"/>
      <c r="H6" s="46"/>
    </row>
    <row r="7" spans="1:8">
      <c r="A7" s="14"/>
      <c r="B7" s="45"/>
      <c r="C7" s="45"/>
      <c r="D7" s="45"/>
      <c r="E7" s="45"/>
      <c r="F7" s="45"/>
      <c r="G7" s="46"/>
      <c r="H7" s="46"/>
    </row>
    <row r="8" spans="1:8">
      <c r="A8" s="14"/>
      <c r="B8" s="47"/>
      <c r="C8" s="45"/>
      <c r="D8" s="47"/>
      <c r="E8" s="45"/>
      <c r="F8" s="45"/>
      <c r="G8" s="46"/>
      <c r="H8" s="46"/>
    </row>
    <row r="9" spans="1:8">
      <c r="A9" s="14"/>
      <c r="B9" s="45"/>
      <c r="C9" s="45"/>
      <c r="D9" s="45"/>
      <c r="E9" s="34"/>
      <c r="F9" s="34"/>
      <c r="G9" s="46"/>
      <c r="H9" s="46"/>
    </row>
    <row r="10" spans="1:8">
      <c r="A10" s="48"/>
      <c r="B10" s="46"/>
      <c r="C10" s="46"/>
      <c r="D10" s="46"/>
      <c r="E10" s="46"/>
      <c r="F10" s="46"/>
      <c r="G10" s="46"/>
      <c r="H10" s="46"/>
    </row>
    <row r="11" spans="1:8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workbookViewId="0">
      <selection activeCell="F13" sqref="F13"/>
    </sheetView>
  </sheetViews>
  <sheetFormatPr defaultColWidth="9" defaultRowHeight="14.25"/>
  <cols>
    <col min="1" max="1" width="11" customWidth="1"/>
    <col min="5" max="5" width="10.375"/>
  </cols>
  <sheetData>
    <row r="1" ht="20.25" spans="1:13">
      <c r="A1" s="1" t="s">
        <v>0</v>
      </c>
      <c r="B1" s="24" t="s">
        <v>589</v>
      </c>
      <c r="C1" s="25"/>
      <c r="D1" s="13"/>
      <c r="E1" s="5"/>
      <c r="F1" s="26" t="s">
        <v>590</v>
      </c>
      <c r="G1" s="7"/>
      <c r="L1" t="str" cm="1">
        <f t="array" ref="L1:L56">_xlfn.TOCOL(A2:G9)</f>
        <v>粤VC5817</v>
      </c>
      <c r="M1" t="s">
        <v>591</v>
      </c>
    </row>
    <row r="2" spans="1:13">
      <c r="A2" s="31" t="s">
        <v>591</v>
      </c>
      <c r="B2" s="32" t="s">
        <v>592</v>
      </c>
      <c r="C2" s="33" t="s">
        <v>593</v>
      </c>
      <c r="D2" s="33" t="s">
        <v>594</v>
      </c>
      <c r="E2" s="33" t="s">
        <v>595</v>
      </c>
      <c r="F2" s="34" t="s">
        <v>596</v>
      </c>
      <c r="G2" s="8"/>
      <c r="L2" t="str">
        <v>粤VY9799</v>
      </c>
      <c r="M2" t="s">
        <v>592</v>
      </c>
    </row>
    <row r="3" spans="2:13">
      <c r="B3" s="8"/>
      <c r="C3" s="8"/>
      <c r="D3" s="27"/>
      <c r="E3" s="13"/>
      <c r="F3" s="13"/>
      <c r="G3" s="13"/>
      <c r="L3" t="str">
        <v>粤V01S73</v>
      </c>
      <c r="M3" t="s">
        <v>593</v>
      </c>
    </row>
    <row r="4" spans="1:13">
      <c r="A4" s="8"/>
      <c r="B4" s="8"/>
      <c r="C4" s="8"/>
      <c r="D4" s="27"/>
      <c r="E4" s="29"/>
      <c r="F4" s="13"/>
      <c r="G4" s="13"/>
      <c r="L4" t="str">
        <v>粤VN3555</v>
      </c>
      <c r="M4" t="s">
        <v>594</v>
      </c>
    </row>
    <row r="5" spans="1:13">
      <c r="A5" s="8"/>
      <c r="B5" s="8"/>
      <c r="C5" s="8"/>
      <c r="D5" s="13"/>
      <c r="E5" s="13"/>
      <c r="F5" s="13"/>
      <c r="G5" s="13"/>
      <c r="L5" t="str">
        <v>赣CBH096</v>
      </c>
      <c r="M5" t="s">
        <v>595</v>
      </c>
    </row>
    <row r="6" spans="1:13">
      <c r="A6" s="14"/>
      <c r="B6" s="13"/>
      <c r="C6" s="15"/>
      <c r="D6" s="13"/>
      <c r="E6" s="13"/>
      <c r="F6" s="13"/>
      <c r="G6" s="13"/>
      <c r="L6" t="str">
        <v>赣C9481X</v>
      </c>
      <c r="M6" t="s">
        <v>596</v>
      </c>
    </row>
    <row r="7" spans="1:12">
      <c r="A7" s="14"/>
      <c r="B7" s="13"/>
      <c r="C7" s="15"/>
      <c r="D7" s="13"/>
      <c r="E7" s="13"/>
      <c r="F7" s="13"/>
      <c r="G7" s="13"/>
      <c r="L7">
        <v>0</v>
      </c>
    </row>
    <row r="8" spans="1:12">
      <c r="A8" s="14"/>
      <c r="B8" s="13"/>
      <c r="C8" s="15"/>
      <c r="D8" s="13"/>
      <c r="E8" s="13"/>
      <c r="F8" s="13"/>
      <c r="G8" s="13"/>
      <c r="L8">
        <v>0</v>
      </c>
    </row>
    <row r="9" spans="1:12">
      <c r="A9" s="14"/>
      <c r="B9" s="13"/>
      <c r="C9" s="15"/>
      <c r="D9" s="13"/>
      <c r="E9" s="13"/>
      <c r="F9" s="13"/>
      <c r="G9" s="13"/>
      <c r="L9">
        <v>0</v>
      </c>
    </row>
    <row r="10" spans="1:12">
      <c r="A10" s="30"/>
      <c r="L10">
        <v>0</v>
      </c>
    </row>
    <row r="11" spans="1:12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>
        <v>0</v>
      </c>
    </row>
    <row r="12" spans="1:12">
      <c r="A12" s="35">
        <v>45941</v>
      </c>
      <c r="B12" s="36" t="s">
        <v>594</v>
      </c>
      <c r="C12" s="36">
        <v>295.01</v>
      </c>
      <c r="D12" s="37" t="str">
        <f>IF(C12&gt;=200,"5.75",IF(C12&lt;200,"5.95"))</f>
        <v>5.75</v>
      </c>
      <c r="E12">
        <f>INT(C12*D12)</f>
        <v>1696</v>
      </c>
      <c r="L12">
        <v>0</v>
      </c>
    </row>
    <row r="13" spans="1:12">
      <c r="A13" s="35">
        <v>45941</v>
      </c>
      <c r="B13" s="36" t="s">
        <v>596</v>
      </c>
      <c r="C13" s="36">
        <v>596.44</v>
      </c>
      <c r="D13" s="37" t="str">
        <f t="shared" ref="D13:D31" si="0">IF(C13&gt;=200,"5.75",IF(C13&lt;200,"5.95"))</f>
        <v>5.75</v>
      </c>
      <c r="E13">
        <f t="shared" ref="E13:E31" si="1">INT(C13*D13)</f>
        <v>3429</v>
      </c>
      <c r="L13">
        <v>0</v>
      </c>
    </row>
    <row r="14" spans="1:12">
      <c r="A14" s="35">
        <v>45941</v>
      </c>
      <c r="B14" s="36" t="s">
        <v>595</v>
      </c>
      <c r="C14" s="36">
        <v>375.19</v>
      </c>
      <c r="D14" s="37" t="str">
        <f t="shared" si="0"/>
        <v>5.75</v>
      </c>
      <c r="E14">
        <f t="shared" si="1"/>
        <v>2157</v>
      </c>
      <c r="L14">
        <v>0</v>
      </c>
    </row>
    <row r="15" spans="1:12">
      <c r="A15" s="35">
        <v>45942</v>
      </c>
      <c r="B15" s="36" t="s">
        <v>595</v>
      </c>
      <c r="C15" s="36">
        <v>350</v>
      </c>
      <c r="D15" s="37" t="str">
        <f t="shared" si="0"/>
        <v>5.75</v>
      </c>
      <c r="E15">
        <f t="shared" si="1"/>
        <v>2012</v>
      </c>
      <c r="L15">
        <v>0</v>
      </c>
    </row>
    <row r="16" spans="1:12">
      <c r="A16" s="35">
        <v>45942</v>
      </c>
      <c r="B16" s="36" t="s">
        <v>593</v>
      </c>
      <c r="C16" s="36">
        <v>443.79</v>
      </c>
      <c r="D16" s="37" t="str">
        <f t="shared" si="0"/>
        <v>5.75</v>
      </c>
      <c r="E16">
        <f t="shared" si="1"/>
        <v>2551</v>
      </c>
      <c r="L16">
        <v>0</v>
      </c>
    </row>
    <row r="17" spans="1:12">
      <c r="A17" s="35">
        <v>45942</v>
      </c>
      <c r="B17" s="36" t="s">
        <v>591</v>
      </c>
      <c r="C17" s="36">
        <v>279.3</v>
      </c>
      <c r="D17" s="37" t="str">
        <f t="shared" si="0"/>
        <v>5.75</v>
      </c>
      <c r="E17">
        <f t="shared" si="1"/>
        <v>1605</v>
      </c>
      <c r="L17">
        <v>0</v>
      </c>
    </row>
    <row r="18" spans="1:12">
      <c r="A18" s="35">
        <v>45942</v>
      </c>
      <c r="B18" s="36" t="s">
        <v>592</v>
      </c>
      <c r="C18" s="36">
        <v>200</v>
      </c>
      <c r="D18" s="37" t="str">
        <f t="shared" si="0"/>
        <v>5.75</v>
      </c>
      <c r="E18">
        <f t="shared" si="1"/>
        <v>1150</v>
      </c>
      <c r="L18">
        <v>0</v>
      </c>
    </row>
    <row r="19" spans="1:12">
      <c r="A19" s="35">
        <v>45942</v>
      </c>
      <c r="B19" s="36" t="s">
        <v>594</v>
      </c>
      <c r="C19" s="36">
        <v>200</v>
      </c>
      <c r="D19" s="37" t="str">
        <f t="shared" si="0"/>
        <v>5.75</v>
      </c>
      <c r="E19">
        <f t="shared" si="1"/>
        <v>1150</v>
      </c>
      <c r="L19">
        <v>0</v>
      </c>
    </row>
    <row r="20" spans="1:12">
      <c r="A20" s="35">
        <v>45942</v>
      </c>
      <c r="B20" s="36" t="s">
        <v>596</v>
      </c>
      <c r="C20" s="36">
        <v>300</v>
      </c>
      <c r="D20" s="37" t="str">
        <f t="shared" si="0"/>
        <v>5.75</v>
      </c>
      <c r="E20">
        <f t="shared" si="1"/>
        <v>1725</v>
      </c>
      <c r="L20">
        <v>0</v>
      </c>
    </row>
    <row r="21" spans="1:12">
      <c r="A21" s="35">
        <v>45942</v>
      </c>
      <c r="B21" s="36" t="s">
        <v>595</v>
      </c>
      <c r="C21" s="36">
        <v>167.16</v>
      </c>
      <c r="D21" s="37" t="str">
        <f t="shared" si="0"/>
        <v>5.95</v>
      </c>
      <c r="E21">
        <f t="shared" si="1"/>
        <v>994</v>
      </c>
      <c r="L21">
        <v>0</v>
      </c>
    </row>
    <row r="22" spans="1:12">
      <c r="A22" s="35">
        <v>45943</v>
      </c>
      <c r="B22" s="36" t="s">
        <v>592</v>
      </c>
      <c r="C22" s="36">
        <v>320</v>
      </c>
      <c r="D22" s="37" t="str">
        <f t="shared" si="0"/>
        <v>5.75</v>
      </c>
      <c r="E22">
        <f t="shared" si="1"/>
        <v>1840</v>
      </c>
      <c r="L22">
        <v>0</v>
      </c>
    </row>
    <row r="23" spans="1:12">
      <c r="A23" s="35">
        <v>45943</v>
      </c>
      <c r="B23" s="36" t="s">
        <v>594</v>
      </c>
      <c r="C23" s="36">
        <v>699.12</v>
      </c>
      <c r="D23" s="37" t="str">
        <f t="shared" si="0"/>
        <v>5.75</v>
      </c>
      <c r="E23">
        <f t="shared" si="1"/>
        <v>4019</v>
      </c>
      <c r="L23">
        <v>0</v>
      </c>
    </row>
    <row r="24" spans="1:12">
      <c r="A24" s="35">
        <v>45943</v>
      </c>
      <c r="B24" s="36" t="s">
        <v>596</v>
      </c>
      <c r="C24" s="36">
        <v>346.01</v>
      </c>
      <c r="D24" s="37" t="str">
        <f t="shared" si="0"/>
        <v>5.75</v>
      </c>
      <c r="E24">
        <f t="shared" si="1"/>
        <v>1989</v>
      </c>
      <c r="L24">
        <v>0</v>
      </c>
    </row>
    <row r="25" spans="1:12">
      <c r="A25" s="35">
        <v>45943</v>
      </c>
      <c r="B25" s="36" t="s">
        <v>595</v>
      </c>
      <c r="C25" s="36">
        <v>500</v>
      </c>
      <c r="D25" s="37" t="str">
        <f t="shared" si="0"/>
        <v>5.75</v>
      </c>
      <c r="E25">
        <f t="shared" si="1"/>
        <v>2875</v>
      </c>
      <c r="L25">
        <v>0</v>
      </c>
    </row>
    <row r="26" spans="1:12">
      <c r="A26" s="35">
        <v>45943</v>
      </c>
      <c r="B26" s="36" t="s">
        <v>593</v>
      </c>
      <c r="C26" s="36">
        <v>490</v>
      </c>
      <c r="D26" s="37" t="str">
        <f t="shared" si="0"/>
        <v>5.75</v>
      </c>
      <c r="E26">
        <f t="shared" si="1"/>
        <v>2817</v>
      </c>
      <c r="L26">
        <v>0</v>
      </c>
    </row>
    <row r="27" spans="1:12">
      <c r="A27" s="35">
        <v>45943</v>
      </c>
      <c r="B27" s="36" t="s">
        <v>591</v>
      </c>
      <c r="C27" s="36">
        <v>200</v>
      </c>
      <c r="D27" s="37" t="str">
        <f t="shared" si="0"/>
        <v>5.75</v>
      </c>
      <c r="E27">
        <f t="shared" si="1"/>
        <v>1150</v>
      </c>
      <c r="L27">
        <v>0</v>
      </c>
    </row>
    <row r="28" spans="1:12">
      <c r="A28" s="35">
        <v>45943</v>
      </c>
      <c r="B28" s="36" t="s">
        <v>592</v>
      </c>
      <c r="C28" s="36">
        <v>264.65</v>
      </c>
      <c r="D28" s="37" t="str">
        <f t="shared" si="0"/>
        <v>5.75</v>
      </c>
      <c r="E28">
        <f t="shared" si="1"/>
        <v>1521</v>
      </c>
      <c r="L28">
        <v>0</v>
      </c>
    </row>
    <row r="29" spans="1:12">
      <c r="A29" s="35">
        <v>45943</v>
      </c>
      <c r="B29" s="36" t="s">
        <v>594</v>
      </c>
      <c r="C29" s="36">
        <v>586</v>
      </c>
      <c r="D29" s="37" t="str">
        <f t="shared" si="0"/>
        <v>5.75</v>
      </c>
      <c r="E29">
        <f t="shared" si="1"/>
        <v>3369</v>
      </c>
      <c r="L29">
        <v>0</v>
      </c>
    </row>
    <row r="30" spans="1:12">
      <c r="A30" s="35">
        <v>45943</v>
      </c>
      <c r="B30" s="36" t="s">
        <v>596</v>
      </c>
      <c r="C30" s="36">
        <v>585.01</v>
      </c>
      <c r="D30" s="37" t="str">
        <f t="shared" si="0"/>
        <v>5.75</v>
      </c>
      <c r="E30">
        <f t="shared" si="1"/>
        <v>3363</v>
      </c>
      <c r="L30">
        <v>0</v>
      </c>
    </row>
    <row r="31" spans="1:12">
      <c r="A31" s="35">
        <v>45943</v>
      </c>
      <c r="B31" s="36" t="s">
        <v>595</v>
      </c>
      <c r="C31" s="36">
        <v>230.01</v>
      </c>
      <c r="D31" s="37" t="str">
        <f t="shared" si="0"/>
        <v>5.75</v>
      </c>
      <c r="E31">
        <f t="shared" si="1"/>
        <v>1322</v>
      </c>
      <c r="L31">
        <v>0</v>
      </c>
    </row>
    <row r="32" spans="12:12">
      <c r="L32">
        <v>0</v>
      </c>
    </row>
    <row r="33" spans="12:12">
      <c r="L33">
        <v>0</v>
      </c>
    </row>
    <row r="34" spans="12:12">
      <c r="L34">
        <v>0</v>
      </c>
    </row>
    <row r="35" spans="12:12">
      <c r="L35">
        <v>0</v>
      </c>
    </row>
    <row r="36" spans="12:12">
      <c r="L36">
        <v>0</v>
      </c>
    </row>
    <row r="37" spans="12:12">
      <c r="L37">
        <v>0</v>
      </c>
    </row>
    <row r="38" spans="12:12">
      <c r="L38">
        <v>0</v>
      </c>
    </row>
    <row r="39" spans="12:12">
      <c r="L39">
        <v>0</v>
      </c>
    </row>
    <row r="40" spans="12:12">
      <c r="L40">
        <v>0</v>
      </c>
    </row>
    <row r="41" spans="12:12"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mergeCells count="1">
    <mergeCell ref="B1:C1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topLeftCell="A9" workbookViewId="0">
      <selection activeCell="H37" sqref="H37"/>
    </sheetView>
  </sheetViews>
  <sheetFormatPr defaultColWidth="9" defaultRowHeight="14.25"/>
  <cols>
    <col min="1" max="1" width="11" customWidth="1"/>
  </cols>
  <sheetData>
    <row r="1" ht="20.25" spans="1:13">
      <c r="A1" s="1" t="s">
        <v>0</v>
      </c>
      <c r="B1" s="24" t="s">
        <v>597</v>
      </c>
      <c r="C1" s="25"/>
      <c r="D1" s="13"/>
      <c r="E1" s="5"/>
      <c r="F1" s="26" t="s">
        <v>590</v>
      </c>
      <c r="G1" s="7"/>
      <c r="L1" t="str" cm="1">
        <f t="array" ref="L1:L56">_xlfn.TOCOL(A2:G9)</f>
        <v>粤D11292</v>
      </c>
      <c r="M1" t="s">
        <v>598</v>
      </c>
    </row>
    <row r="2" spans="1:13">
      <c r="A2" s="20" t="s">
        <v>598</v>
      </c>
      <c r="B2" s="10" t="s">
        <v>599</v>
      </c>
      <c r="C2" s="21" t="s">
        <v>600</v>
      </c>
      <c r="D2" s="10" t="s">
        <v>601</v>
      </c>
      <c r="E2" s="10" t="s">
        <v>602</v>
      </c>
      <c r="F2" s="11" t="s">
        <v>603</v>
      </c>
      <c r="G2" s="13" t="s">
        <v>604</v>
      </c>
      <c r="L2" t="str">
        <v>赣CCL432</v>
      </c>
      <c r="M2" t="s">
        <v>599</v>
      </c>
    </row>
    <row r="3" spans="1:13">
      <c r="A3" s="8" t="s">
        <v>605</v>
      </c>
      <c r="B3" s="13" t="s">
        <v>606</v>
      </c>
      <c r="C3" s="13" t="s">
        <v>607</v>
      </c>
      <c r="D3" s="27" t="s">
        <v>608</v>
      </c>
      <c r="E3" s="13" t="s">
        <v>609</v>
      </c>
      <c r="F3" s="28" t="s">
        <v>610</v>
      </c>
      <c r="G3" s="13"/>
      <c r="L3" t="str">
        <v>粤V5797挂</v>
      </c>
      <c r="M3" t="s">
        <v>600</v>
      </c>
    </row>
    <row r="4" spans="1:13">
      <c r="A4" s="8"/>
      <c r="B4" s="8"/>
      <c r="C4" s="29"/>
      <c r="D4" s="27"/>
      <c r="E4" s="29"/>
      <c r="F4" s="13"/>
      <c r="G4" s="13"/>
      <c r="L4" t="str">
        <v>粤MU9803</v>
      </c>
      <c r="M4" t="s">
        <v>601</v>
      </c>
    </row>
    <row r="5" spans="1:13">
      <c r="A5" s="14"/>
      <c r="B5" s="13"/>
      <c r="C5" s="15"/>
      <c r="D5" s="13"/>
      <c r="E5" s="13"/>
      <c r="F5" s="13"/>
      <c r="G5" s="13"/>
      <c r="L5" t="str">
        <v>粤MW0238</v>
      </c>
      <c r="M5" t="s">
        <v>602</v>
      </c>
    </row>
    <row r="6" spans="1:13">
      <c r="A6" s="14"/>
      <c r="B6" s="13"/>
      <c r="C6" s="15"/>
      <c r="D6" s="13"/>
      <c r="E6" s="13"/>
      <c r="F6" s="13"/>
      <c r="G6" s="13"/>
      <c r="L6" t="str">
        <v>粤M35329</v>
      </c>
      <c r="M6" t="s">
        <v>603</v>
      </c>
    </row>
    <row r="7" spans="1:13">
      <c r="A7" s="14"/>
      <c r="B7" s="13"/>
      <c r="C7" s="15"/>
      <c r="D7" s="13"/>
      <c r="E7" s="13"/>
      <c r="F7" s="13"/>
      <c r="G7" s="13"/>
      <c r="L7" t="str">
        <v>粤VCN561</v>
      </c>
      <c r="M7" t="s">
        <v>604</v>
      </c>
    </row>
    <row r="8" spans="1:13">
      <c r="A8" s="14"/>
      <c r="B8" s="13"/>
      <c r="C8" s="15"/>
      <c r="D8" s="13"/>
      <c r="E8" s="13"/>
      <c r="F8" s="13"/>
      <c r="G8" s="13"/>
      <c r="L8" t="str">
        <v>粤VW1689</v>
      </c>
      <c r="M8" t="s">
        <v>605</v>
      </c>
    </row>
    <row r="9" spans="1:13">
      <c r="A9" s="14"/>
      <c r="B9" s="13"/>
      <c r="C9" s="15"/>
      <c r="D9" s="13"/>
      <c r="E9" s="13"/>
      <c r="F9" s="13"/>
      <c r="G9" s="13"/>
      <c r="L9" t="str">
        <v>赣K89533</v>
      </c>
      <c r="M9" t="s">
        <v>606</v>
      </c>
    </row>
    <row r="10" spans="1:13">
      <c r="A10" s="30"/>
      <c r="L10" t="str">
        <v>粤VR3995</v>
      </c>
      <c r="M10" t="s">
        <v>607</v>
      </c>
    </row>
    <row r="11" spans="1:13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L11" t="str">
        <v>粤U51320</v>
      </c>
      <c r="M11" t="s">
        <v>608</v>
      </c>
    </row>
    <row r="12" spans="1:13">
      <c r="A12" s="22">
        <v>45923</v>
      </c>
      <c r="B12" s="23" t="s">
        <v>611</v>
      </c>
      <c r="C12" s="23">
        <v>113.12</v>
      </c>
      <c r="D12" s="19" t="str">
        <f>IF(C12&gt;=200,"5.7",IF(C12&lt;200,"5.85"))</f>
        <v>5.85</v>
      </c>
      <c r="E12" s="8">
        <f t="shared" ref="E12:E17" si="0">INT(C12*D12)</f>
        <v>661</v>
      </c>
      <c r="L12" t="str">
        <v>粤VF6995</v>
      </c>
      <c r="M12" t="s">
        <v>609</v>
      </c>
    </row>
    <row r="13" spans="1:13">
      <c r="A13" s="22">
        <v>45923</v>
      </c>
      <c r="B13" s="23" t="s">
        <v>612</v>
      </c>
      <c r="C13" s="23">
        <v>345</v>
      </c>
      <c r="D13" s="19" t="str">
        <f>IF(C13&gt;=200,"5.7",IF(C13&lt;200,"5.85"))</f>
        <v>5.7</v>
      </c>
      <c r="E13" s="8">
        <f t="shared" si="0"/>
        <v>1966</v>
      </c>
      <c r="L13" t="str">
        <v>粤V93E12</v>
      </c>
      <c r="M13" t="s">
        <v>610</v>
      </c>
    </row>
    <row r="14" spans="1:12">
      <c r="A14" s="22">
        <v>45924</v>
      </c>
      <c r="B14" s="23" t="s">
        <v>613</v>
      </c>
      <c r="C14" s="23">
        <v>1030</v>
      </c>
      <c r="D14" s="19" t="str">
        <f>IF(C14&gt;=200,"5.7",IF(C14&lt;200,"5.85"))</f>
        <v>5.7</v>
      </c>
      <c r="E14" s="8">
        <f t="shared" si="0"/>
        <v>5871</v>
      </c>
      <c r="L14">
        <v>0</v>
      </c>
    </row>
    <row r="15" spans="1:12">
      <c r="A15" s="22">
        <v>45927</v>
      </c>
      <c r="B15" s="23" t="s">
        <v>612</v>
      </c>
      <c r="C15" s="23">
        <v>185</v>
      </c>
      <c r="D15" s="19" t="str">
        <f>IF(C15&gt;=200,"5.7",IF(C15&lt;200,"5.85"))</f>
        <v>5.85</v>
      </c>
      <c r="E15" s="8">
        <f t="shared" si="0"/>
        <v>1082</v>
      </c>
      <c r="L15">
        <v>0</v>
      </c>
    </row>
    <row r="16" spans="1:12">
      <c r="A16" s="22">
        <v>45928</v>
      </c>
      <c r="B16" s="23" t="s">
        <v>611</v>
      </c>
      <c r="C16" s="23">
        <v>112.23</v>
      </c>
      <c r="D16" s="19" t="str">
        <f>IF(C16&gt;=200,"5.8",IF(C16&lt;200,"5.85"))</f>
        <v>5.85</v>
      </c>
      <c r="E16" s="8">
        <f t="shared" si="0"/>
        <v>656</v>
      </c>
      <c r="L16">
        <v>0</v>
      </c>
    </row>
    <row r="17" spans="1:12">
      <c r="A17" s="22">
        <v>45928</v>
      </c>
      <c r="B17" s="23" t="s">
        <v>612</v>
      </c>
      <c r="C17" s="23">
        <v>223.49</v>
      </c>
      <c r="D17" s="19" t="str">
        <f>IF(C17&gt;=200,"5.8",IF(C17&lt;200,"5.85"))</f>
        <v>5.8</v>
      </c>
      <c r="E17" s="8">
        <f t="shared" si="0"/>
        <v>1296</v>
      </c>
      <c r="L17">
        <v>0</v>
      </c>
    </row>
    <row r="18" spans="1:12">
      <c r="A18" s="22"/>
      <c r="B18" s="23"/>
      <c r="C18" s="23"/>
      <c r="D18" s="19"/>
      <c r="E18" s="8"/>
      <c r="L18">
        <v>0</v>
      </c>
    </row>
    <row r="19" spans="1:12">
      <c r="A19" s="22">
        <v>45929</v>
      </c>
      <c r="B19" s="23" t="s">
        <v>611</v>
      </c>
      <c r="C19" s="23">
        <v>113.44</v>
      </c>
      <c r="D19" s="19" t="str">
        <f t="shared" ref="D19:D24" si="1">IF(C19&gt;=200,"5.8",IF(C19&lt;200,"5.85"))</f>
        <v>5.85</v>
      </c>
      <c r="E19" s="8">
        <f t="shared" ref="E19:E24" si="2">INT(C19*D19)</f>
        <v>663</v>
      </c>
      <c r="L19">
        <v>0</v>
      </c>
    </row>
    <row r="20" spans="1:12">
      <c r="A20" s="22">
        <v>45930</v>
      </c>
      <c r="B20" s="23" t="s">
        <v>611</v>
      </c>
      <c r="C20" s="23">
        <v>302.16</v>
      </c>
      <c r="D20" s="19" t="str">
        <f t="shared" si="1"/>
        <v>5.8</v>
      </c>
      <c r="E20" s="8">
        <f t="shared" si="2"/>
        <v>1752</v>
      </c>
      <c r="L20">
        <v>0</v>
      </c>
    </row>
    <row r="21" spans="1:12">
      <c r="A21" s="22">
        <v>45930</v>
      </c>
      <c r="B21" s="23" t="s">
        <v>612</v>
      </c>
      <c r="C21" s="23">
        <v>99.3</v>
      </c>
      <c r="D21" s="19" t="str">
        <f t="shared" si="1"/>
        <v>5.85</v>
      </c>
      <c r="E21" s="8">
        <f t="shared" si="2"/>
        <v>580</v>
      </c>
      <c r="L21">
        <v>0</v>
      </c>
    </row>
    <row r="22" spans="1:12">
      <c r="A22" s="22">
        <v>45930</v>
      </c>
      <c r="B22" s="23" t="s">
        <v>611</v>
      </c>
      <c r="C22" s="23">
        <v>440</v>
      </c>
      <c r="D22" s="19" t="str">
        <f t="shared" si="1"/>
        <v>5.8</v>
      </c>
      <c r="E22" s="8">
        <f t="shared" si="2"/>
        <v>2552</v>
      </c>
      <c r="L22">
        <v>0</v>
      </c>
    </row>
    <row r="23" spans="1:12">
      <c r="A23" s="22">
        <v>45931</v>
      </c>
      <c r="B23" s="23" t="s">
        <v>612</v>
      </c>
      <c r="C23" s="23">
        <v>115</v>
      </c>
      <c r="D23" s="19" t="str">
        <f t="shared" si="1"/>
        <v>5.85</v>
      </c>
      <c r="E23" s="8">
        <f t="shared" si="2"/>
        <v>672</v>
      </c>
      <c r="L23">
        <v>0</v>
      </c>
    </row>
    <row r="24" spans="1:12">
      <c r="A24" s="22">
        <v>45931</v>
      </c>
      <c r="B24" s="23" t="s">
        <v>611</v>
      </c>
      <c r="C24" s="23">
        <v>200.02</v>
      </c>
      <c r="D24" s="19" t="str">
        <f t="shared" si="1"/>
        <v>5.8</v>
      </c>
      <c r="E24" s="8">
        <f t="shared" si="2"/>
        <v>1160</v>
      </c>
      <c r="L24">
        <v>0</v>
      </c>
    </row>
    <row r="25" spans="4:12">
      <c r="D25" s="19"/>
      <c r="E25" s="8"/>
      <c r="L25">
        <v>0</v>
      </c>
    </row>
    <row r="26" spans="1:12">
      <c r="A26" s="22">
        <v>45932</v>
      </c>
      <c r="B26" s="23" t="s">
        <v>611</v>
      </c>
      <c r="C26" s="23">
        <v>134.54</v>
      </c>
      <c r="D26" s="19" t="str">
        <f>IF(C26&gt;=200,"5.8",IF(C26&lt;200,"5.85"))</f>
        <v>5.85</v>
      </c>
      <c r="E26" s="8">
        <f>INT(C26*D26)</f>
        <v>787</v>
      </c>
      <c r="L26">
        <v>0</v>
      </c>
    </row>
    <row r="27" spans="1:12">
      <c r="A27" s="22">
        <v>45932</v>
      </c>
      <c r="B27" s="23" t="s">
        <v>611</v>
      </c>
      <c r="C27" s="23">
        <v>200.81</v>
      </c>
      <c r="D27" s="19" t="str">
        <f>IF(C27&gt;=200,"5.8",IF(C27&lt;200,"5.85"))</f>
        <v>5.8</v>
      </c>
      <c r="E27" s="8">
        <f>INT(C27*D27)</f>
        <v>1164</v>
      </c>
      <c r="L27">
        <v>0</v>
      </c>
    </row>
    <row r="28" spans="1:12">
      <c r="A28" s="22">
        <v>45934</v>
      </c>
      <c r="B28" s="23" t="s">
        <v>611</v>
      </c>
      <c r="C28" s="23">
        <v>227.19</v>
      </c>
      <c r="D28" s="19" t="str">
        <f>IF(C28&gt;=200,"5.8",IF(C28&lt;200,"5.85"))</f>
        <v>5.8</v>
      </c>
      <c r="E28" s="8">
        <f>INT(C28*D28)</f>
        <v>1317</v>
      </c>
      <c r="L28">
        <v>0</v>
      </c>
    </row>
    <row r="29" spans="4:12">
      <c r="D29" s="19"/>
      <c r="E29" s="8"/>
      <c r="L29">
        <v>0</v>
      </c>
    </row>
    <row r="30" spans="1:12">
      <c r="A30" s="22">
        <v>45935</v>
      </c>
      <c r="B30" s="23" t="s">
        <v>612</v>
      </c>
      <c r="C30" s="23">
        <v>106.93</v>
      </c>
      <c r="D30" s="19" t="str">
        <f t="shared" ref="D29:D36" si="3">IF(C30&gt;=200,"5.8",IF(C30&lt;200,"5.85"))</f>
        <v>5.85</v>
      </c>
      <c r="E30" s="8">
        <f t="shared" ref="E29:E41" si="4">INT(C30*D30)</f>
        <v>625</v>
      </c>
      <c r="L30">
        <v>0</v>
      </c>
    </row>
    <row r="31" spans="1:12">
      <c r="A31" s="22">
        <v>45936</v>
      </c>
      <c r="B31" s="23" t="s">
        <v>613</v>
      </c>
      <c r="C31" s="23">
        <v>200</v>
      </c>
      <c r="D31" s="19" t="str">
        <f t="shared" si="3"/>
        <v>5.8</v>
      </c>
      <c r="E31" s="8">
        <f t="shared" si="4"/>
        <v>1160</v>
      </c>
      <c r="L31">
        <v>0</v>
      </c>
    </row>
    <row r="32" spans="1:12">
      <c r="A32" s="22">
        <v>45938</v>
      </c>
      <c r="B32" s="23" t="s">
        <v>611</v>
      </c>
      <c r="C32" s="23">
        <v>433.25</v>
      </c>
      <c r="D32" s="19" t="str">
        <f t="shared" si="3"/>
        <v>5.8</v>
      </c>
      <c r="E32" s="8">
        <f t="shared" si="4"/>
        <v>2512</v>
      </c>
      <c r="L32">
        <v>0</v>
      </c>
    </row>
    <row r="33" spans="1:12">
      <c r="A33" s="22">
        <v>45939</v>
      </c>
      <c r="B33" s="23" t="s">
        <v>612</v>
      </c>
      <c r="C33" s="23">
        <v>100.08</v>
      </c>
      <c r="D33" s="19" t="str">
        <f t="shared" si="3"/>
        <v>5.85</v>
      </c>
      <c r="E33" s="8">
        <f t="shared" si="4"/>
        <v>585</v>
      </c>
      <c r="L33">
        <v>0</v>
      </c>
    </row>
    <row r="34" spans="1:12">
      <c r="A34" s="22">
        <v>45939</v>
      </c>
      <c r="B34" s="23" t="s">
        <v>611</v>
      </c>
      <c r="C34" s="23">
        <v>356.43</v>
      </c>
      <c r="D34" s="19" t="str">
        <f t="shared" si="3"/>
        <v>5.8</v>
      </c>
      <c r="E34" s="8">
        <f t="shared" si="4"/>
        <v>2067</v>
      </c>
      <c r="L34">
        <v>0</v>
      </c>
    </row>
    <row r="35" spans="1:12">
      <c r="A35" s="22">
        <v>45939</v>
      </c>
      <c r="B35" s="23" t="s">
        <v>613</v>
      </c>
      <c r="C35" s="23">
        <v>177</v>
      </c>
      <c r="D35" s="19" t="str">
        <f t="shared" si="3"/>
        <v>5.85</v>
      </c>
      <c r="E35" s="8">
        <f t="shared" si="4"/>
        <v>1035</v>
      </c>
      <c r="L35">
        <v>0</v>
      </c>
    </row>
    <row r="36" spans="1:12">
      <c r="A36" s="22">
        <v>45940</v>
      </c>
      <c r="B36" s="23" t="s">
        <v>611</v>
      </c>
      <c r="C36" s="23">
        <v>111.4</v>
      </c>
      <c r="D36" s="19" t="str">
        <f t="shared" si="3"/>
        <v>5.85</v>
      </c>
      <c r="E36" s="8">
        <f t="shared" si="4"/>
        <v>651</v>
      </c>
      <c r="L36">
        <v>0</v>
      </c>
    </row>
    <row r="37" spans="4:12">
      <c r="D37" s="19"/>
      <c r="E37" s="8">
        <f t="shared" si="4"/>
        <v>0</v>
      </c>
      <c r="L37">
        <v>0</v>
      </c>
    </row>
    <row r="38" spans="1:12">
      <c r="A38" s="22">
        <v>45941</v>
      </c>
      <c r="B38" s="23" t="s">
        <v>604</v>
      </c>
      <c r="C38" s="23">
        <v>170</v>
      </c>
      <c r="D38" s="19" t="str">
        <f>IF(C38&gt;=200,"5.7",IF(C38&lt;200,"5.85"))</f>
        <v>5.85</v>
      </c>
      <c r="E38" s="8">
        <f t="shared" si="4"/>
        <v>994</v>
      </c>
      <c r="L38">
        <v>0</v>
      </c>
    </row>
    <row r="39" spans="1:12">
      <c r="A39" s="22">
        <v>45942</v>
      </c>
      <c r="B39" s="23" t="s">
        <v>606</v>
      </c>
      <c r="C39" s="23">
        <v>863.42</v>
      </c>
      <c r="D39" s="19" t="str">
        <f>IF(C39&gt;=200,"5.7",IF(C39&lt;200,"5.85"))</f>
        <v>5.7</v>
      </c>
      <c r="E39" s="8">
        <f t="shared" si="4"/>
        <v>4921</v>
      </c>
      <c r="L39">
        <v>0</v>
      </c>
    </row>
    <row r="40" spans="1:12">
      <c r="A40" s="22">
        <v>45942</v>
      </c>
      <c r="B40" s="23" t="s">
        <v>606</v>
      </c>
      <c r="C40" s="23">
        <v>110.24</v>
      </c>
      <c r="D40" s="19" t="str">
        <f>IF(C40&gt;=200,"5.7",IF(C40&lt;200,"5.85"))</f>
        <v>5.85</v>
      </c>
      <c r="E40" s="8">
        <f t="shared" si="4"/>
        <v>644</v>
      </c>
      <c r="L40">
        <v>0</v>
      </c>
    </row>
    <row r="41" spans="1:12">
      <c r="A41" s="22">
        <v>45943</v>
      </c>
      <c r="B41" s="23" t="s">
        <v>606</v>
      </c>
      <c r="C41" s="23">
        <v>201.54</v>
      </c>
      <c r="D41" s="19" t="str">
        <f>IF(C41&gt;=200,"5.7",IF(C41&lt;200,"5.85"))</f>
        <v>5.7</v>
      </c>
      <c r="E41" s="8">
        <f t="shared" si="4"/>
        <v>1148</v>
      </c>
      <c r="L41">
        <v>0</v>
      </c>
    </row>
    <row r="42" spans="12:12">
      <c r="L42">
        <v>0</v>
      </c>
    </row>
    <row r="43" spans="12:12">
      <c r="L43">
        <v>0</v>
      </c>
    </row>
    <row r="44" spans="12:12">
      <c r="L44">
        <v>0</v>
      </c>
    </row>
    <row r="45" spans="12:12">
      <c r="L45">
        <v>0</v>
      </c>
    </row>
    <row r="46" spans="12:12">
      <c r="L46">
        <v>0</v>
      </c>
    </row>
    <row r="47" spans="12:12">
      <c r="L47">
        <v>0</v>
      </c>
    </row>
    <row r="48" spans="12:12">
      <c r="L48">
        <v>0</v>
      </c>
    </row>
    <row r="49" spans="12:12">
      <c r="L49">
        <v>0</v>
      </c>
    </row>
    <row r="50" spans="12:12">
      <c r="L50">
        <v>0</v>
      </c>
    </row>
    <row r="51" spans="12:12">
      <c r="L51">
        <v>0</v>
      </c>
    </row>
    <row r="52" spans="12:12">
      <c r="L52">
        <v>0</v>
      </c>
    </row>
    <row r="53" spans="12:12">
      <c r="L53">
        <v>0</v>
      </c>
    </row>
    <row r="54" spans="12:12">
      <c r="L54">
        <v>0</v>
      </c>
    </row>
    <row r="55" spans="12:12">
      <c r="L55">
        <v>0</v>
      </c>
    </row>
    <row r="56" spans="12:12">
      <c r="L56">
        <v>0</v>
      </c>
    </row>
  </sheetData>
  <mergeCells count="1">
    <mergeCell ref="B1:C1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workbookViewId="0">
      <selection activeCell="Q30" sqref="Q30"/>
    </sheetView>
  </sheetViews>
  <sheetFormatPr defaultColWidth="9" defaultRowHeight="14.25"/>
  <cols>
    <col min="1" max="1" width="11" customWidth="1"/>
  </cols>
  <sheetData>
    <row r="1" ht="20.25" spans="1:12">
      <c r="A1" s="1" t="s">
        <v>0</v>
      </c>
      <c r="B1" s="2" t="s">
        <v>614</v>
      </c>
      <c r="C1" s="3"/>
      <c r="D1" s="4"/>
      <c r="E1" s="5"/>
      <c r="F1" s="6">
        <v>5.85</v>
      </c>
      <c r="G1" s="7"/>
      <c r="K1" t="str" cm="1">
        <f t="array" ref="K1:K56">_xlfn.TOCOL(A2:G9)</f>
        <v>粤VX3353</v>
      </c>
      <c r="L1" t="s">
        <v>615</v>
      </c>
    </row>
    <row r="2" spans="1:12">
      <c r="A2" s="20" t="s">
        <v>615</v>
      </c>
      <c r="B2" s="21" t="s">
        <v>616</v>
      </c>
      <c r="C2" s="10" t="s">
        <v>617</v>
      </c>
      <c r="D2" s="10" t="s">
        <v>618</v>
      </c>
      <c r="E2" t="s">
        <v>619</v>
      </c>
      <c r="F2" s="8" t="s">
        <v>620</v>
      </c>
      <c r="G2" s="8" t="s">
        <v>621</v>
      </c>
      <c r="K2" t="str">
        <v>鄂FGF830</v>
      </c>
      <c r="L2" t="s">
        <v>616</v>
      </c>
    </row>
    <row r="3" spans="1:12">
      <c r="A3" s="12" t="s">
        <v>622</v>
      </c>
      <c r="B3" s="8"/>
      <c r="C3" s="8"/>
      <c r="D3" s="13"/>
      <c r="E3" s="8"/>
      <c r="F3" s="13"/>
      <c r="G3" s="13"/>
      <c r="K3" t="str">
        <v>粤V770E3</v>
      </c>
      <c r="L3" t="s">
        <v>617</v>
      </c>
    </row>
    <row r="4" spans="1:12">
      <c r="A4" s="14"/>
      <c r="B4" s="13"/>
      <c r="C4" s="15"/>
      <c r="D4" s="13"/>
      <c r="E4" s="13"/>
      <c r="F4" s="13"/>
      <c r="G4" s="13"/>
      <c r="K4" t="str">
        <v>粤VV2250</v>
      </c>
      <c r="L4" t="s">
        <v>618</v>
      </c>
    </row>
    <row r="5" spans="1:12">
      <c r="A5" s="14"/>
      <c r="B5" s="13"/>
      <c r="C5" s="15"/>
      <c r="D5" s="13"/>
      <c r="E5" s="13"/>
      <c r="F5" s="13"/>
      <c r="G5" s="13"/>
      <c r="K5" t="str">
        <v>粤VX6720</v>
      </c>
      <c r="L5" t="s">
        <v>619</v>
      </c>
    </row>
    <row r="6" spans="1:12">
      <c r="A6" s="14"/>
      <c r="B6" s="13"/>
      <c r="C6" s="15"/>
      <c r="D6" s="13"/>
      <c r="E6" s="13"/>
      <c r="F6" s="13"/>
      <c r="G6" s="13"/>
      <c r="K6" t="str">
        <v>粤V08352</v>
      </c>
      <c r="L6" t="s">
        <v>620</v>
      </c>
    </row>
    <row r="7" spans="1:12">
      <c r="A7" s="14"/>
      <c r="B7" s="13"/>
      <c r="C7" s="15"/>
      <c r="D7" s="13"/>
      <c r="E7" s="13"/>
      <c r="F7" s="13"/>
      <c r="G7" s="13"/>
      <c r="K7" t="str">
        <v>粤VW1837</v>
      </c>
      <c r="L7" t="s">
        <v>621</v>
      </c>
    </row>
    <row r="8" spans="1:12">
      <c r="A8" s="14"/>
      <c r="B8" s="13"/>
      <c r="C8" s="15"/>
      <c r="D8" s="13"/>
      <c r="E8" s="13"/>
      <c r="F8" s="13"/>
      <c r="G8" s="13"/>
      <c r="K8" t="str">
        <v>粤VN9067</v>
      </c>
      <c r="L8" t="s">
        <v>622</v>
      </c>
    </row>
    <row r="9" spans="1:11">
      <c r="A9" s="14"/>
      <c r="B9" s="13"/>
      <c r="C9" s="15"/>
      <c r="D9" s="13"/>
      <c r="E9" s="13"/>
      <c r="F9" s="13"/>
      <c r="G9" s="13"/>
      <c r="K9">
        <v>0</v>
      </c>
    </row>
    <row r="10" spans="11:11">
      <c r="K10">
        <v>0</v>
      </c>
    </row>
    <row r="11" spans="1:11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K11">
        <v>0</v>
      </c>
    </row>
    <row r="12" spans="1:11">
      <c r="A12" s="22">
        <v>45925</v>
      </c>
      <c r="B12" s="23" t="s">
        <v>623</v>
      </c>
      <c r="C12" s="23">
        <v>400</v>
      </c>
      <c r="D12" s="19" t="str">
        <f t="shared" ref="D12" si="0">IF(C12&gt;=200,"5.75",IF(C12&lt;200,"5.95"))</f>
        <v>5.75</v>
      </c>
      <c r="E12" s="8">
        <f t="shared" ref="E12:E16" si="1">INT(C12*D12)</f>
        <v>2300</v>
      </c>
      <c r="K12">
        <v>0</v>
      </c>
    </row>
    <row r="13" spans="4:11">
      <c r="D13" s="19"/>
      <c r="E13" s="8">
        <f t="shared" si="1"/>
        <v>0</v>
      </c>
      <c r="K13">
        <v>0</v>
      </c>
    </row>
    <row r="14" spans="1:11">
      <c r="A14" s="22">
        <v>45942</v>
      </c>
      <c r="B14" s="23" t="s">
        <v>619</v>
      </c>
      <c r="C14" s="23">
        <v>350</v>
      </c>
      <c r="D14" s="19" t="str">
        <f>IF(C14&gt;=200,"5.75",IF(C14&lt;200,"5.95"))</f>
        <v>5.75</v>
      </c>
      <c r="E14" s="8">
        <f t="shared" si="1"/>
        <v>2012</v>
      </c>
      <c r="K14">
        <v>0</v>
      </c>
    </row>
    <row r="15" spans="1:11">
      <c r="A15" s="22">
        <v>45942</v>
      </c>
      <c r="B15" s="23" t="s">
        <v>618</v>
      </c>
      <c r="C15" s="23">
        <v>400</v>
      </c>
      <c r="D15" s="19" t="str">
        <f>IF(C15&gt;=200,"5.75",IF(C15&lt;200,"5.95"))</f>
        <v>5.75</v>
      </c>
      <c r="E15" s="8">
        <f t="shared" si="1"/>
        <v>2300</v>
      </c>
      <c r="K15">
        <v>0</v>
      </c>
    </row>
    <row r="16" spans="1:11">
      <c r="A16" s="22">
        <v>45942</v>
      </c>
      <c r="B16" s="23" t="s">
        <v>616</v>
      </c>
      <c r="C16" s="23">
        <v>200</v>
      </c>
      <c r="D16" s="19" t="str">
        <f>IF(C16&gt;=200,"5.75",IF(C16&lt;200,"5.95"))</f>
        <v>5.75</v>
      </c>
      <c r="E16" s="8">
        <f t="shared" si="1"/>
        <v>1150</v>
      </c>
      <c r="K16">
        <v>0</v>
      </c>
    </row>
    <row r="17" spans="11:11">
      <c r="K17">
        <v>0</v>
      </c>
    </row>
    <row r="18" spans="11:11">
      <c r="K18">
        <v>0</v>
      </c>
    </row>
    <row r="19" spans="11:11">
      <c r="K19">
        <v>0</v>
      </c>
    </row>
    <row r="20" spans="11:11">
      <c r="K20">
        <v>0</v>
      </c>
    </row>
    <row r="21" spans="11:11">
      <c r="K21">
        <v>0</v>
      </c>
    </row>
    <row r="22" spans="11:11">
      <c r="K22">
        <v>0</v>
      </c>
    </row>
    <row r="23" spans="11:11">
      <c r="K23">
        <v>0</v>
      </c>
    </row>
    <row r="24" spans="11:11">
      <c r="K24">
        <v>0</v>
      </c>
    </row>
    <row r="25" spans="11:11">
      <c r="K25">
        <v>0</v>
      </c>
    </row>
    <row r="26" spans="11:11">
      <c r="K26">
        <v>0</v>
      </c>
    </row>
    <row r="27" spans="11:11">
      <c r="K27">
        <v>0</v>
      </c>
    </row>
    <row r="28" spans="11:11">
      <c r="K28">
        <v>0</v>
      </c>
    </row>
    <row r="29" spans="11:11">
      <c r="K29">
        <v>0</v>
      </c>
    </row>
    <row r="30" spans="11:11">
      <c r="K30">
        <v>0</v>
      </c>
    </row>
    <row r="31" spans="11:11">
      <c r="K31">
        <v>0</v>
      </c>
    </row>
    <row r="32" spans="11:11">
      <c r="K32">
        <v>0</v>
      </c>
    </row>
    <row r="33" spans="11:11">
      <c r="K33">
        <v>0</v>
      </c>
    </row>
    <row r="34" spans="11:11">
      <c r="K34">
        <v>0</v>
      </c>
    </row>
    <row r="35" spans="11:11">
      <c r="K35">
        <v>0</v>
      </c>
    </row>
    <row r="36" spans="11:11">
      <c r="K36">
        <v>0</v>
      </c>
    </row>
    <row r="37" spans="11:11">
      <c r="K37">
        <v>0</v>
      </c>
    </row>
    <row r="38" spans="11:11">
      <c r="K38">
        <v>0</v>
      </c>
    </row>
    <row r="39" spans="11:11">
      <c r="K39">
        <v>0</v>
      </c>
    </row>
    <row r="40" spans="11:11">
      <c r="K40">
        <v>0</v>
      </c>
    </row>
    <row r="41" spans="11:11">
      <c r="K41">
        <v>0</v>
      </c>
    </row>
    <row r="42" spans="11:11">
      <c r="K42">
        <v>0</v>
      </c>
    </row>
    <row r="43" spans="11:11">
      <c r="K43">
        <v>0</v>
      </c>
    </row>
    <row r="44" spans="11:11">
      <c r="K44">
        <v>0</v>
      </c>
    </row>
    <row r="45" spans="11:11">
      <c r="K45">
        <v>0</v>
      </c>
    </row>
    <row r="46" spans="11:11">
      <c r="K46">
        <v>0</v>
      </c>
    </row>
    <row r="47" spans="11:11">
      <c r="K47">
        <v>0</v>
      </c>
    </row>
    <row r="48" spans="11:11">
      <c r="K48">
        <v>0</v>
      </c>
    </row>
    <row r="49" spans="11:11">
      <c r="K49">
        <v>0</v>
      </c>
    </row>
    <row r="50" spans="11:11">
      <c r="K50">
        <v>0</v>
      </c>
    </row>
    <row r="51" spans="11:11">
      <c r="K51">
        <v>0</v>
      </c>
    </row>
    <row r="52" spans="11:11">
      <c r="K52">
        <v>0</v>
      </c>
    </row>
    <row r="53" spans="11:11">
      <c r="K53">
        <v>0</v>
      </c>
    </row>
    <row r="54" spans="11:11">
      <c r="K54">
        <v>0</v>
      </c>
    </row>
    <row r="55" spans="11:11">
      <c r="K55">
        <v>0</v>
      </c>
    </row>
    <row r="56" spans="11:11">
      <c r="K56">
        <v>0</v>
      </c>
    </row>
  </sheetData>
  <mergeCells count="1">
    <mergeCell ref="B1:D1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K1" sqref="K1:K6"/>
    </sheetView>
  </sheetViews>
  <sheetFormatPr defaultColWidth="9" defaultRowHeight="14.25"/>
  <sheetData>
    <row r="1" ht="20.25" spans="1:11">
      <c r="A1" s="1" t="s">
        <v>0</v>
      </c>
      <c r="B1" s="2" t="s">
        <v>624</v>
      </c>
      <c r="C1" s="3"/>
      <c r="D1" s="4"/>
      <c r="E1" s="5"/>
      <c r="F1" s="6">
        <v>5.85</v>
      </c>
      <c r="G1" s="7"/>
      <c r="J1" t="str" cm="1">
        <f t="array" ref="J1:J56">_xlfn.TOCOL(A2:G9)</f>
        <v>粤V08385</v>
      </c>
      <c r="K1" t="s">
        <v>625</v>
      </c>
    </row>
    <row r="2" spans="1:11">
      <c r="A2" s="20" t="s">
        <v>625</v>
      </c>
      <c r="B2" s="8" t="s">
        <v>626</v>
      </c>
      <c r="C2" s="10" t="s">
        <v>627</v>
      </c>
      <c r="D2" s="10" t="s">
        <v>628</v>
      </c>
      <c r="E2" s="8" t="s">
        <v>629</v>
      </c>
      <c r="F2" s="11" t="s">
        <v>630</v>
      </c>
      <c r="G2" s="8"/>
      <c r="J2" t="str">
        <v>鲁RL7970</v>
      </c>
      <c r="K2" t="s">
        <v>626</v>
      </c>
    </row>
    <row r="3" spans="1:11">
      <c r="A3" s="12"/>
      <c r="B3" s="8"/>
      <c r="C3" s="8"/>
      <c r="D3" s="13"/>
      <c r="E3" s="13"/>
      <c r="F3" s="13"/>
      <c r="G3" s="13"/>
      <c r="J3" t="str">
        <v>粤VBN555</v>
      </c>
      <c r="K3" t="s">
        <v>627</v>
      </c>
    </row>
    <row r="4" spans="1:11">
      <c r="A4" s="14"/>
      <c r="B4" s="13"/>
      <c r="C4" s="15"/>
      <c r="D4" s="13"/>
      <c r="E4" s="13"/>
      <c r="F4" s="13"/>
      <c r="G4" s="13"/>
      <c r="J4" t="str">
        <v>赣C0929D</v>
      </c>
      <c r="K4" t="s">
        <v>628</v>
      </c>
    </row>
    <row r="5" spans="1:11">
      <c r="A5" s="14"/>
      <c r="B5" s="13"/>
      <c r="C5" s="15"/>
      <c r="D5" s="13"/>
      <c r="E5" s="13"/>
      <c r="F5" s="13"/>
      <c r="G5" s="13"/>
      <c r="J5" t="str">
        <v>粤MC0863</v>
      </c>
      <c r="K5" t="s">
        <v>629</v>
      </c>
    </row>
    <row r="6" spans="1:11">
      <c r="A6" s="14"/>
      <c r="B6" s="13"/>
      <c r="C6" s="15"/>
      <c r="D6" s="13"/>
      <c r="E6" s="13"/>
      <c r="F6" s="13"/>
      <c r="G6" s="13"/>
      <c r="J6" t="str">
        <v>粤V5J502</v>
      </c>
      <c r="K6" t="s">
        <v>630</v>
      </c>
    </row>
    <row r="7" spans="1:10">
      <c r="A7" s="14"/>
      <c r="B7" s="13"/>
      <c r="C7" s="15"/>
      <c r="D7" s="13"/>
      <c r="E7" s="13"/>
      <c r="F7" s="13"/>
      <c r="G7" s="13"/>
      <c r="J7">
        <v>0</v>
      </c>
    </row>
    <row r="8" spans="1:10">
      <c r="A8" s="14"/>
      <c r="B8" s="13"/>
      <c r="C8" s="15"/>
      <c r="D8" s="13"/>
      <c r="E8" s="13"/>
      <c r="F8" s="13"/>
      <c r="G8" s="13"/>
      <c r="J8">
        <v>0</v>
      </c>
    </row>
    <row r="9" spans="1:10">
      <c r="A9" s="14"/>
      <c r="B9" s="13"/>
      <c r="C9" s="15"/>
      <c r="D9" s="13"/>
      <c r="E9" s="13"/>
      <c r="F9" s="13"/>
      <c r="G9" s="13"/>
      <c r="J9">
        <v>0</v>
      </c>
    </row>
    <row r="10" spans="10:10">
      <c r="J10">
        <v>0</v>
      </c>
    </row>
    <row r="11" spans="1:10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J11">
        <v>0</v>
      </c>
    </row>
    <row r="12" spans="4:10">
      <c r="D12" s="19" t="str">
        <f t="shared" ref="D12" si="0">IF(C12&gt;=200,"5.75",IF(C12&lt;200,"5.95"))</f>
        <v>5.95</v>
      </c>
      <c r="E12" s="8">
        <f t="shared" ref="E12" si="1">INT(C12*D12)</f>
        <v>0</v>
      </c>
      <c r="J12">
        <v>0</v>
      </c>
    </row>
    <row r="13" spans="10:10">
      <c r="J13">
        <v>0</v>
      </c>
    </row>
    <row r="14" spans="10:10">
      <c r="J14">
        <v>0</v>
      </c>
    </row>
    <row r="15" spans="10:10">
      <c r="J15">
        <v>0</v>
      </c>
    </row>
    <row r="16" spans="10:10">
      <c r="J16">
        <v>0</v>
      </c>
    </row>
    <row r="17" spans="10:10">
      <c r="J17">
        <v>0</v>
      </c>
    </row>
    <row r="18" spans="10:10">
      <c r="J18">
        <v>0</v>
      </c>
    </row>
    <row r="19" spans="10:10">
      <c r="J19">
        <v>0</v>
      </c>
    </row>
    <row r="20" spans="10:10">
      <c r="J20">
        <v>0</v>
      </c>
    </row>
    <row r="21" spans="10:10">
      <c r="J21">
        <v>0</v>
      </c>
    </row>
    <row r="22" spans="10:10">
      <c r="J22">
        <v>0</v>
      </c>
    </row>
    <row r="23" spans="10:10">
      <c r="J23">
        <v>0</v>
      </c>
    </row>
    <row r="24" spans="10:10">
      <c r="J24">
        <v>0</v>
      </c>
    </row>
    <row r="25" spans="10:10">
      <c r="J25">
        <v>0</v>
      </c>
    </row>
    <row r="26" spans="10:10">
      <c r="J26">
        <v>0</v>
      </c>
    </row>
    <row r="27" spans="10:10">
      <c r="J27">
        <v>0</v>
      </c>
    </row>
    <row r="28" spans="10:10">
      <c r="J28">
        <v>0</v>
      </c>
    </row>
    <row r="29" spans="10:10">
      <c r="J29">
        <v>0</v>
      </c>
    </row>
    <row r="30" spans="10:10">
      <c r="J30">
        <v>0</v>
      </c>
    </row>
    <row r="31" spans="10:10">
      <c r="J31">
        <v>0</v>
      </c>
    </row>
    <row r="32" spans="10:10">
      <c r="J32">
        <v>0</v>
      </c>
    </row>
    <row r="33" spans="10:10">
      <c r="J33">
        <v>0</v>
      </c>
    </row>
    <row r="34" spans="10:10">
      <c r="J34">
        <v>0</v>
      </c>
    </row>
    <row r="35" spans="10:10">
      <c r="J35">
        <v>0</v>
      </c>
    </row>
    <row r="36" spans="10:10">
      <c r="J36">
        <v>0</v>
      </c>
    </row>
    <row r="37" spans="10:10">
      <c r="J37">
        <v>0</v>
      </c>
    </row>
    <row r="38" spans="10:10">
      <c r="J38">
        <v>0</v>
      </c>
    </row>
    <row r="39" spans="10:10">
      <c r="J39">
        <v>0</v>
      </c>
    </row>
    <row r="40" spans="10:10">
      <c r="J40">
        <v>0</v>
      </c>
    </row>
    <row r="41" spans="10:10">
      <c r="J41">
        <v>0</v>
      </c>
    </row>
    <row r="42" spans="10:10">
      <c r="J42">
        <v>0</v>
      </c>
    </row>
    <row r="43" spans="10:10">
      <c r="J43">
        <v>0</v>
      </c>
    </row>
    <row r="44" spans="10:10">
      <c r="J44">
        <v>0</v>
      </c>
    </row>
    <row r="45" spans="10:10">
      <c r="J45">
        <v>0</v>
      </c>
    </row>
    <row r="46" spans="10:10">
      <c r="J46">
        <v>0</v>
      </c>
    </row>
    <row r="47" spans="10:10">
      <c r="J47">
        <v>0</v>
      </c>
    </row>
    <row r="48" spans="10:10">
      <c r="J48">
        <v>0</v>
      </c>
    </row>
    <row r="49" spans="10:10">
      <c r="J49">
        <v>0</v>
      </c>
    </row>
    <row r="50" spans="10:10">
      <c r="J50">
        <v>0</v>
      </c>
    </row>
    <row r="51" spans="10:10">
      <c r="J51">
        <v>0</v>
      </c>
    </row>
    <row r="52" spans="10:10">
      <c r="J52">
        <v>0</v>
      </c>
    </row>
    <row r="53" spans="10:10">
      <c r="J53">
        <v>0</v>
      </c>
    </row>
    <row r="54" spans="10:10">
      <c r="J54">
        <v>0</v>
      </c>
    </row>
    <row r="55" spans="10:10">
      <c r="J55">
        <v>0</v>
      </c>
    </row>
    <row r="56" spans="10:10">
      <c r="J56">
        <v>0</v>
      </c>
    </row>
  </sheetData>
  <mergeCells count="1">
    <mergeCell ref="B1:D1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6"/>
  <sheetViews>
    <sheetView workbookViewId="0">
      <selection activeCell="L1" sqref="L1:L3"/>
    </sheetView>
  </sheetViews>
  <sheetFormatPr defaultColWidth="9" defaultRowHeight="14.25"/>
  <sheetData>
    <row r="1" ht="20.25" spans="1:12">
      <c r="A1" s="1" t="s">
        <v>0</v>
      </c>
      <c r="B1" s="2" t="s">
        <v>631</v>
      </c>
      <c r="C1" s="3"/>
      <c r="D1" s="4"/>
      <c r="E1" s="5"/>
      <c r="F1" s="6">
        <v>5.85</v>
      </c>
      <c r="G1" s="7"/>
      <c r="K1" t="str" cm="1">
        <f t="array" ref="K1:K56">_xlfn.TOCOL(A2:G9)</f>
        <v>粤MR7711</v>
      </c>
      <c r="L1" t="s">
        <v>632</v>
      </c>
    </row>
    <row r="2" spans="1:12">
      <c r="A2" s="8" t="s">
        <v>632</v>
      </c>
      <c r="B2" s="8" t="s">
        <v>633</v>
      </c>
      <c r="C2" s="9" t="s">
        <v>634</v>
      </c>
      <c r="D2" s="10"/>
      <c r="E2" s="8"/>
      <c r="F2" s="11"/>
      <c r="G2" s="8"/>
      <c r="K2" t="str">
        <v>粤D96T48</v>
      </c>
      <c r="L2" t="s">
        <v>633</v>
      </c>
    </row>
    <row r="3" spans="1:12">
      <c r="A3" s="12"/>
      <c r="B3" s="8"/>
      <c r="C3" s="8"/>
      <c r="D3" s="13"/>
      <c r="E3" s="13"/>
      <c r="F3" s="13"/>
      <c r="G3" s="13"/>
      <c r="K3" t="str">
        <v>粤MQ5255</v>
      </c>
      <c r="L3" t="s">
        <v>634</v>
      </c>
    </row>
    <row r="4" spans="1:11">
      <c r="A4" s="14"/>
      <c r="B4" s="13"/>
      <c r="C4" s="15"/>
      <c r="D4" s="13"/>
      <c r="E4" s="13"/>
      <c r="F4" s="13"/>
      <c r="G4" s="13"/>
      <c r="K4">
        <v>0</v>
      </c>
    </row>
    <row r="5" spans="1:11">
      <c r="A5" s="14"/>
      <c r="B5" s="13"/>
      <c r="C5" s="15"/>
      <c r="D5" s="13"/>
      <c r="E5" s="13"/>
      <c r="F5" s="13"/>
      <c r="G5" s="13"/>
      <c r="K5">
        <v>0</v>
      </c>
    </row>
    <row r="6" spans="1:11">
      <c r="A6" s="14"/>
      <c r="B6" s="13"/>
      <c r="C6" s="15"/>
      <c r="D6" s="13"/>
      <c r="E6" s="13"/>
      <c r="F6" s="13"/>
      <c r="G6" s="13"/>
      <c r="K6">
        <v>0</v>
      </c>
    </row>
    <row r="7" spans="1:11">
      <c r="A7" s="14"/>
      <c r="B7" s="13"/>
      <c r="C7" s="15"/>
      <c r="D7" s="13"/>
      <c r="E7" s="13"/>
      <c r="F7" s="13"/>
      <c r="G7" s="13"/>
      <c r="K7">
        <v>0</v>
      </c>
    </row>
    <row r="8" spans="1:11">
      <c r="A8" s="14"/>
      <c r="B8" s="13"/>
      <c r="C8" s="15"/>
      <c r="D8" s="13"/>
      <c r="E8" s="13"/>
      <c r="F8" s="13"/>
      <c r="G8" s="13"/>
      <c r="K8">
        <v>0</v>
      </c>
    </row>
    <row r="9" spans="1:11">
      <c r="A9" s="14"/>
      <c r="B9" s="13"/>
      <c r="C9" s="15"/>
      <c r="D9" s="13"/>
      <c r="E9" s="13"/>
      <c r="F9" s="13"/>
      <c r="G9" s="13"/>
      <c r="K9">
        <v>0</v>
      </c>
    </row>
    <row r="10" spans="11:11">
      <c r="K10">
        <v>0</v>
      </c>
    </row>
    <row r="11" spans="1:11">
      <c r="A11" s="16" t="s">
        <v>35</v>
      </c>
      <c r="B11" s="17" t="s">
        <v>36</v>
      </c>
      <c r="C11" s="18" t="s">
        <v>37</v>
      </c>
      <c r="D11" s="17" t="s">
        <v>38</v>
      </c>
      <c r="E11" s="17" t="s">
        <v>39</v>
      </c>
      <c r="F11" s="17" t="s">
        <v>40</v>
      </c>
      <c r="G11" s="17" t="s">
        <v>40</v>
      </c>
      <c r="H11" s="17" t="s">
        <v>40</v>
      </c>
      <c r="K11">
        <v>0</v>
      </c>
    </row>
    <row r="12" spans="4:11">
      <c r="D12" s="19" t="str">
        <f t="shared" ref="D12" si="0">IF(C12&gt;=200,"5.75",IF(C12&lt;200,"5.95"))</f>
        <v>5.95</v>
      </c>
      <c r="E12" s="8">
        <f t="shared" ref="E12" si="1">INT(C12*D12)</f>
        <v>0</v>
      </c>
      <c r="K12">
        <v>0</v>
      </c>
    </row>
    <row r="13" spans="11:11">
      <c r="K13">
        <v>0</v>
      </c>
    </row>
    <row r="14" spans="11:11">
      <c r="K14">
        <v>0</v>
      </c>
    </row>
    <row r="15" spans="11:11">
      <c r="K15">
        <v>0</v>
      </c>
    </row>
    <row r="16" spans="11:11">
      <c r="K16">
        <v>0</v>
      </c>
    </row>
    <row r="17" spans="11:11">
      <c r="K17">
        <v>0</v>
      </c>
    </row>
    <row r="18" spans="11:11">
      <c r="K18">
        <v>0</v>
      </c>
    </row>
    <row r="19" spans="11:11">
      <c r="K19">
        <v>0</v>
      </c>
    </row>
    <row r="20" spans="11:11">
      <c r="K20">
        <v>0</v>
      </c>
    </row>
    <row r="21" spans="11:11">
      <c r="K21">
        <v>0</v>
      </c>
    </row>
    <row r="22" spans="11:11">
      <c r="K22">
        <v>0</v>
      </c>
    </row>
    <row r="23" spans="11:11">
      <c r="K23">
        <v>0</v>
      </c>
    </row>
    <row r="24" spans="11:11">
      <c r="K24">
        <v>0</v>
      </c>
    </row>
    <row r="25" spans="11:11">
      <c r="K25">
        <v>0</v>
      </c>
    </row>
    <row r="26" spans="11:11">
      <c r="K26">
        <v>0</v>
      </c>
    </row>
    <row r="27" spans="11:11">
      <c r="K27">
        <v>0</v>
      </c>
    </row>
    <row r="28" spans="11:11">
      <c r="K28">
        <v>0</v>
      </c>
    </row>
    <row r="29" spans="11:11">
      <c r="K29">
        <v>0</v>
      </c>
    </row>
    <row r="30" spans="11:11">
      <c r="K30">
        <v>0</v>
      </c>
    </row>
    <row r="31" spans="11:11">
      <c r="K31">
        <v>0</v>
      </c>
    </row>
    <row r="32" spans="11:11">
      <c r="K32">
        <v>0</v>
      </c>
    </row>
    <row r="33" spans="11:11">
      <c r="K33">
        <v>0</v>
      </c>
    </row>
    <row r="34" spans="11:11">
      <c r="K34">
        <v>0</v>
      </c>
    </row>
    <row r="35" spans="11:11">
      <c r="K35">
        <v>0</v>
      </c>
    </row>
    <row r="36" spans="11:11">
      <c r="K36">
        <v>0</v>
      </c>
    </row>
    <row r="37" spans="11:11">
      <c r="K37">
        <v>0</v>
      </c>
    </row>
    <row r="38" spans="11:11">
      <c r="K38">
        <v>0</v>
      </c>
    </row>
    <row r="39" spans="11:11">
      <c r="K39">
        <v>0</v>
      </c>
    </row>
    <row r="40" spans="11:11">
      <c r="K40">
        <v>0</v>
      </c>
    </row>
    <row r="41" spans="11:11">
      <c r="K41">
        <v>0</v>
      </c>
    </row>
    <row r="42" spans="11:11">
      <c r="K42">
        <v>0</v>
      </c>
    </row>
    <row r="43" spans="11:11">
      <c r="K43">
        <v>0</v>
      </c>
    </row>
    <row r="44" spans="11:11">
      <c r="K44">
        <v>0</v>
      </c>
    </row>
    <row r="45" spans="11:11">
      <c r="K45">
        <v>0</v>
      </c>
    </row>
    <row r="46" spans="11:11">
      <c r="K46">
        <v>0</v>
      </c>
    </row>
    <row r="47" spans="11:11">
      <c r="K47">
        <v>0</v>
      </c>
    </row>
    <row r="48" spans="11:11">
      <c r="K48">
        <v>0</v>
      </c>
    </row>
    <row r="49" spans="11:11">
      <c r="K49">
        <v>0</v>
      </c>
    </row>
    <row r="50" spans="11:11">
      <c r="K50">
        <v>0</v>
      </c>
    </row>
    <row r="51" spans="11:11">
      <c r="K51">
        <v>0</v>
      </c>
    </row>
    <row r="52" spans="11:11">
      <c r="K52">
        <v>0</v>
      </c>
    </row>
    <row r="53" spans="11:11">
      <c r="K53">
        <v>0</v>
      </c>
    </row>
    <row r="54" spans="11:11">
      <c r="K54">
        <v>0</v>
      </c>
    </row>
    <row r="55" spans="11:11">
      <c r="K55">
        <v>0</v>
      </c>
    </row>
    <row r="56" spans="11:11">
      <c r="K56">
        <v>0</v>
      </c>
    </row>
  </sheetData>
  <mergeCells count="1">
    <mergeCell ref="B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雄宇</vt:lpstr>
      <vt:lpstr>丹娜</vt:lpstr>
      <vt:lpstr>锐忠散户</vt:lpstr>
      <vt:lpstr>红忠</vt:lpstr>
      <vt:lpstr>锐忠</vt:lpstr>
      <vt:lpstr>标胜</vt:lpstr>
      <vt:lpstr>灿林</vt:lpstr>
      <vt:lpstr>葫芦</vt:lpstr>
      <vt:lpstr>广大</vt:lpstr>
      <vt:lpstr>燕姐</vt:lpstr>
      <vt:lpstr>杰兄</vt:lpstr>
      <vt:lpstr>普宁中通</vt:lpstr>
      <vt:lpstr>伟彦</vt:lpstr>
      <vt:lpstr>阳江</vt:lpstr>
      <vt:lpstr>陈洁治</vt:lpstr>
      <vt:lpstr>玉亮散户</vt:lpstr>
      <vt:lpstr>快递兄弟</vt:lpstr>
      <vt:lpstr>顺达</vt:lpstr>
      <vt:lpstr>顺达老同</vt:lpstr>
      <vt:lpstr>德邦</vt:lpstr>
      <vt:lpstr>万家</vt:lpstr>
      <vt:lpstr>地都土</vt:lpstr>
      <vt:lpstr>陈店土</vt:lpstr>
      <vt:lpstr>云路土</vt:lpstr>
      <vt:lpstr>泥浆</vt:lpstr>
      <vt:lpstr>吊车大巴</vt:lpstr>
      <vt:lpstr>海大</vt:lpstr>
      <vt:lpstr>玉浦</vt:lpstr>
      <vt:lpstr>宾驰</vt:lpstr>
      <vt:lpstr>地都</vt:lpstr>
      <vt:lpstr>仙桥</vt:lpstr>
      <vt:lpstr>生隆</vt:lpstr>
      <vt:lpstr>陈店</vt:lpstr>
      <vt:lpstr>潮州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林泽龙</dc:creator>
  <cp:lastModifiedBy>微型电机</cp:lastModifiedBy>
  <dcterms:created xsi:type="dcterms:W3CDTF">2015-06-05T18:19:00Z</dcterms:created>
  <dcterms:modified xsi:type="dcterms:W3CDTF">2025-10-13T18:18:51Z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151DEC4B833F41FDA1598791266AD772_12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