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885" activeTab="6"/>
  </bookViews>
  <sheets>
    <sheet name="锐忠散" sheetId="1" r:id="rId1"/>
    <sheet name="普宁" sheetId="2" r:id="rId2"/>
    <sheet name="达运" sheetId="3" r:id="rId3"/>
    <sheet name="葫芦" sheetId="4" r:id="rId4"/>
    <sheet name="玉亮" sheetId="5" r:id="rId5"/>
    <sheet name="地都" sheetId="6" r:id="rId6"/>
    <sheet name="玉豪" sheetId="7" r:id="rId7"/>
    <sheet name="卢锐" sheetId="8" r:id="rId8"/>
    <sheet name="卢土散" sheetId="9" r:id="rId9"/>
    <sheet name="留土" sheetId="10" r:id="rId10"/>
    <sheet name="科民土" sheetId="11" r:id="rId11"/>
    <sheet name="吴土" sheetId="12" r:id="rId12"/>
    <sheet name="高土" sheetId="13" r:id="rId13"/>
    <sheet name="李土" sheetId="14" r:id="rId14"/>
    <sheet name="中运土" sheetId="17" r:id="rId15"/>
    <sheet name="万顺达" sheetId="15" r:id="rId16"/>
    <sheet name="多出的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<sst xmlns="http://schemas.openxmlformats.org/spreadsheetml/2006/main" count="1097" uniqueCount="275">
  <si>
    <t>名称：</t>
  </si>
  <si>
    <t>锐忠散</t>
  </si>
  <si>
    <t>200升上5.85,200升下5.95</t>
  </si>
  <si>
    <t>粤V5X031</t>
  </si>
  <si>
    <t>赣FD1737</t>
  </si>
  <si>
    <t>赣C2263X</t>
  </si>
  <si>
    <t>粤V1N875</t>
  </si>
  <si>
    <t>粤V05307</t>
  </si>
  <si>
    <t>豫N28B3V</t>
  </si>
  <si>
    <t>粤V65710</t>
  </si>
  <si>
    <t>鲁MCG668</t>
  </si>
  <si>
    <t>皖KS7995</t>
  </si>
  <si>
    <t>赣CCJ156</t>
  </si>
  <si>
    <t>粤ABC657</t>
  </si>
  <si>
    <t>粤AFQ100</t>
  </si>
  <si>
    <t>鄂FJR329</t>
  </si>
  <si>
    <t>粤V83820</t>
  </si>
  <si>
    <t>赣C5N376</t>
  </si>
  <si>
    <t>赣CC7580</t>
  </si>
  <si>
    <t>日期</t>
  </si>
  <si>
    <t>车牌号</t>
  </si>
  <si>
    <t>数量</t>
  </si>
  <si>
    <t>单价</t>
  </si>
  <si>
    <t>金额</t>
  </si>
  <si>
    <t>收款</t>
  </si>
  <si>
    <t>备注</t>
  </si>
  <si>
    <t xml:space="preserve">赣C2263X    </t>
  </si>
  <si>
    <t xml:space="preserve">粤V1N875    </t>
  </si>
  <si>
    <t xml:space="preserve">粤V65710    </t>
  </si>
  <si>
    <t xml:space="preserve">鄂FJR329    </t>
  </si>
  <si>
    <t xml:space="preserve">豫N28B3V    </t>
  </si>
  <si>
    <t xml:space="preserve">粤V83820    </t>
  </si>
  <si>
    <t xml:space="preserve">赣CC7580    </t>
  </si>
  <si>
    <t xml:space="preserve">鲁MCG668    </t>
  </si>
  <si>
    <t xml:space="preserve">粤ABC657    </t>
  </si>
  <si>
    <t xml:space="preserve">赣C5N376    </t>
  </si>
  <si>
    <t xml:space="preserve">粤AFQ100    </t>
  </si>
  <si>
    <t xml:space="preserve">皖KS7995    </t>
  </si>
  <si>
    <t xml:space="preserve">赣CCJ156    </t>
  </si>
  <si>
    <t xml:space="preserve">粤V05307    </t>
  </si>
  <si>
    <t xml:space="preserve">粤V5X031    </t>
  </si>
  <si>
    <t xml:space="preserve">赣FD1737    </t>
  </si>
  <si>
    <t>普宁中通</t>
  </si>
  <si>
    <t>粤VEA287</t>
  </si>
  <si>
    <t>粤VBR013</t>
  </si>
  <si>
    <t>粤V82531</t>
  </si>
  <si>
    <t xml:space="preserve">粤VEA287    </t>
  </si>
  <si>
    <t xml:space="preserve">粤VBR013    </t>
  </si>
  <si>
    <t xml:space="preserve">粤V82531    </t>
  </si>
  <si>
    <t>达运物流</t>
  </si>
  <si>
    <t>赣CBC171</t>
  </si>
  <si>
    <t>豫RUS963</t>
  </si>
  <si>
    <t>葫芦</t>
  </si>
  <si>
    <t>赣M50369</t>
  </si>
  <si>
    <t>赣AH8785</t>
  </si>
  <si>
    <t xml:space="preserve">赣AH8785    </t>
  </si>
  <si>
    <t xml:space="preserve">赣M50369    </t>
  </si>
  <si>
    <t>玉亮</t>
  </si>
  <si>
    <t>粤BDX932</t>
  </si>
  <si>
    <t>粤BHA073</t>
  </si>
  <si>
    <t>粤BHC568</t>
  </si>
  <si>
    <t>粤BJM695</t>
  </si>
  <si>
    <t>沪EF5853</t>
  </si>
  <si>
    <t>皖SB5011</t>
  </si>
  <si>
    <t>粤BHK663</t>
  </si>
  <si>
    <t>赣C1669T</t>
  </si>
  <si>
    <t>贵CF4037</t>
  </si>
  <si>
    <t>赣CH7075</t>
  </si>
  <si>
    <t>赣CH9315</t>
  </si>
  <si>
    <t>粤AJN869</t>
  </si>
  <si>
    <t>利润</t>
  </si>
  <si>
    <t xml:space="preserve">粤BHA073    </t>
  </si>
  <si>
    <t xml:space="preserve">粤BHC568    </t>
  </si>
  <si>
    <t xml:space="preserve">粤BHK663    </t>
  </si>
  <si>
    <t xml:space="preserve">皖SB5011    </t>
  </si>
  <si>
    <t xml:space="preserve">赣C1669T    </t>
  </si>
  <si>
    <t xml:space="preserve">贵CF4037    </t>
  </si>
  <si>
    <t xml:space="preserve">赣CH7075    </t>
  </si>
  <si>
    <t xml:space="preserve">粤AJN869    </t>
  </si>
  <si>
    <t xml:space="preserve">赣CH9315    </t>
  </si>
  <si>
    <t>地都</t>
  </si>
  <si>
    <t>200升上5.8,200升下5.85</t>
  </si>
  <si>
    <t>皖CA6828</t>
  </si>
  <si>
    <t>皖KR2719</t>
  </si>
  <si>
    <t>皖KQ8650</t>
  </si>
  <si>
    <t>皖CC5848</t>
  </si>
  <si>
    <t>皖CA0002</t>
  </si>
  <si>
    <t>鲁AK0108</t>
  </si>
  <si>
    <t>皖CF9428</t>
  </si>
  <si>
    <t>鲁AV2386</t>
  </si>
  <si>
    <t>皖CF9782</t>
  </si>
  <si>
    <t>皖CF6438</t>
  </si>
  <si>
    <t>皖CF2642</t>
  </si>
  <si>
    <t>皖CF8759</t>
  </si>
  <si>
    <t>皖CF9312</t>
  </si>
  <si>
    <t>皖CF8571</t>
  </si>
  <si>
    <t>皖CF8810</t>
  </si>
  <si>
    <t xml:space="preserve">皖CF9428    </t>
  </si>
  <si>
    <t xml:space="preserve">鲁AV2386    </t>
  </si>
  <si>
    <t xml:space="preserve">皖CF9782    </t>
  </si>
  <si>
    <t xml:space="preserve">皖CA6828    </t>
  </si>
  <si>
    <t xml:space="preserve">皖CF6438    </t>
  </si>
  <si>
    <t xml:space="preserve">鲁AK0108    </t>
  </si>
  <si>
    <t xml:space="preserve">皖CA0002    </t>
  </si>
  <si>
    <t xml:space="preserve">皖CC5848    </t>
  </si>
  <si>
    <t xml:space="preserve">皖KQ8650    </t>
  </si>
  <si>
    <t xml:space="preserve">皖KR2719    </t>
  </si>
  <si>
    <t>黄</t>
  </si>
  <si>
    <t>李</t>
  </si>
  <si>
    <t xml:space="preserve">皖CF2642    </t>
  </si>
  <si>
    <t>卢</t>
  </si>
  <si>
    <t xml:space="preserve">皖CF8759    </t>
  </si>
  <si>
    <t xml:space="preserve">皖CF8810    </t>
  </si>
  <si>
    <t xml:space="preserve">皖CF8571    </t>
  </si>
  <si>
    <t>玉豪</t>
  </si>
  <si>
    <t>200升上5.8,200升下6</t>
  </si>
  <si>
    <t>鄂FT0079</t>
  </si>
  <si>
    <t>赣K56885</t>
  </si>
  <si>
    <t>赣FC0821</t>
  </si>
  <si>
    <t>川T28009</t>
  </si>
  <si>
    <t>浙E1322挂</t>
  </si>
  <si>
    <t>皖CF8602</t>
  </si>
  <si>
    <t>赣CX9777</t>
  </si>
  <si>
    <t>鲁H15E96</t>
  </si>
  <si>
    <t>赣C3K978</t>
  </si>
  <si>
    <t>粤BHA294</t>
  </si>
  <si>
    <t>粤BHQ091</t>
  </si>
  <si>
    <t>粤BJD163</t>
  </si>
  <si>
    <t>粤BHH589</t>
  </si>
  <si>
    <t>粤BHM499</t>
  </si>
  <si>
    <t xml:space="preserve">赣C3K978    </t>
  </si>
  <si>
    <t xml:space="preserve">浙E1322挂   </t>
  </si>
  <si>
    <t xml:space="preserve">皖CF8602    </t>
  </si>
  <si>
    <t xml:space="preserve">赣FC0821    </t>
  </si>
  <si>
    <t xml:space="preserve">粤BHH589    </t>
  </si>
  <si>
    <t>卢锐</t>
  </si>
  <si>
    <t>粤AGQ610</t>
  </si>
  <si>
    <t>苏F74369</t>
  </si>
  <si>
    <t>豫A8579A</t>
  </si>
  <si>
    <t>粤R92041</t>
  </si>
  <si>
    <t>沪FT5778</t>
  </si>
  <si>
    <t>川AY0655</t>
  </si>
  <si>
    <t>川T3307挂</t>
  </si>
  <si>
    <t>赣CH7127</t>
  </si>
  <si>
    <t xml:space="preserve">苏F74369    </t>
  </si>
  <si>
    <t xml:space="preserve">川T3307挂   </t>
  </si>
  <si>
    <t xml:space="preserve">沪FT5778    </t>
  </si>
  <si>
    <t xml:space="preserve">川AY0655    </t>
  </si>
  <si>
    <t xml:space="preserve">赣CH7127    </t>
  </si>
  <si>
    <t>卢土散</t>
  </si>
  <si>
    <t>粤ACE396</t>
  </si>
  <si>
    <t>粤GR5767</t>
  </si>
  <si>
    <t>赣C1611E</t>
  </si>
  <si>
    <t>赣C3D665</t>
  </si>
  <si>
    <t>粤R43825</t>
  </si>
  <si>
    <t>赣CCN477</t>
  </si>
  <si>
    <t>闽EA535F</t>
  </si>
  <si>
    <t>赣FD1795</t>
  </si>
  <si>
    <t>赣FD5296</t>
  </si>
  <si>
    <t>粤D652J1</t>
  </si>
  <si>
    <t>粤AHM306</t>
  </si>
  <si>
    <t>粤AHP997</t>
  </si>
  <si>
    <t>粤AGG730</t>
  </si>
  <si>
    <t>粤AGN483</t>
  </si>
  <si>
    <t>粤AFD528</t>
  </si>
  <si>
    <t>粤DGB851</t>
  </si>
  <si>
    <t>粤D26466</t>
  </si>
  <si>
    <t xml:space="preserve">粤ACE396    </t>
  </si>
  <si>
    <t xml:space="preserve">闽EA535F    </t>
  </si>
  <si>
    <t xml:space="preserve">赣FD1795    </t>
  </si>
  <si>
    <t xml:space="preserve">赣FD5296    </t>
  </si>
  <si>
    <t xml:space="preserve">粤AFD528    </t>
  </si>
  <si>
    <t xml:space="preserve">粤R43825    </t>
  </si>
  <si>
    <t xml:space="preserve"> </t>
  </si>
  <si>
    <t xml:space="preserve">粤DGB851    </t>
  </si>
  <si>
    <t xml:space="preserve">粤D26466    </t>
  </si>
  <si>
    <t xml:space="preserve">粤AHP997    </t>
  </si>
  <si>
    <t xml:space="preserve">粤AGN483    </t>
  </si>
  <si>
    <t>留土</t>
  </si>
  <si>
    <t>粤AHA075</t>
  </si>
  <si>
    <t>粤AGX555</t>
  </si>
  <si>
    <t>粤AGH558</t>
  </si>
  <si>
    <t>粤AHQ400</t>
  </si>
  <si>
    <t>粤AHH648</t>
  </si>
  <si>
    <t>粤AHH492</t>
  </si>
  <si>
    <t>粤AGP711</t>
  </si>
  <si>
    <t>粤AHC721</t>
  </si>
  <si>
    <t xml:space="preserve">粤AGX555    </t>
  </si>
  <si>
    <t xml:space="preserve">粤AGH558    </t>
  </si>
  <si>
    <t xml:space="preserve">粤AHA075    </t>
  </si>
  <si>
    <t xml:space="preserve">粤AHH492    </t>
  </si>
  <si>
    <t xml:space="preserve">粤AHC721    </t>
  </si>
  <si>
    <t xml:space="preserve">粤AHH648    </t>
  </si>
  <si>
    <t xml:space="preserve">粤AHQ400    </t>
  </si>
  <si>
    <t xml:space="preserve">粤AGP711    </t>
  </si>
  <si>
    <t>科民土</t>
  </si>
  <si>
    <t>粤AHR001</t>
  </si>
  <si>
    <t>粤AHG239</t>
  </si>
  <si>
    <t>粤AFR173</t>
  </si>
  <si>
    <t>粤AHG913</t>
  </si>
  <si>
    <t>粤AFW753</t>
  </si>
  <si>
    <t>粤AHV973</t>
  </si>
  <si>
    <t>粤AGE828</t>
  </si>
  <si>
    <t>鲁AN2377</t>
  </si>
  <si>
    <t xml:space="preserve">粤AFR173    </t>
  </si>
  <si>
    <t xml:space="preserve">粤AHR001    </t>
  </si>
  <si>
    <t xml:space="preserve">粤AHG913    </t>
  </si>
  <si>
    <t xml:space="preserve">粤AFW753    </t>
  </si>
  <si>
    <t xml:space="preserve">粤AHV973    </t>
  </si>
  <si>
    <t xml:space="preserve">粤AHG239    </t>
  </si>
  <si>
    <t xml:space="preserve">粤AGE828    </t>
  </si>
  <si>
    <t xml:space="preserve">鲁AN2377    </t>
  </si>
  <si>
    <t>吴土</t>
  </si>
  <si>
    <t>粤AHV200</t>
  </si>
  <si>
    <t>粤AKE673</t>
  </si>
  <si>
    <t>粤ADH687</t>
  </si>
  <si>
    <t>粤AGS803</t>
  </si>
  <si>
    <t>粤AHX588</t>
  </si>
  <si>
    <t>粤AGN122</t>
  </si>
  <si>
    <t>粤ADZ337</t>
  </si>
  <si>
    <t xml:space="preserve">粤ADZ337    </t>
  </si>
  <si>
    <t xml:space="preserve">粤AGN122    </t>
  </si>
  <si>
    <t xml:space="preserve">粤AGS803    </t>
  </si>
  <si>
    <t xml:space="preserve">粤AKE673    </t>
  </si>
  <si>
    <t xml:space="preserve">粤AHV200    </t>
  </si>
  <si>
    <t xml:space="preserve">粤ADH687    </t>
  </si>
  <si>
    <t xml:space="preserve">粤AHX588    </t>
  </si>
  <si>
    <t>高土</t>
  </si>
  <si>
    <t>粤BHM548</t>
  </si>
  <si>
    <t>粤BJS845</t>
  </si>
  <si>
    <t>粤BJS597</t>
  </si>
  <si>
    <t>粤BJT778</t>
  </si>
  <si>
    <t>粤BHA859</t>
  </si>
  <si>
    <t>粤BHR536</t>
  </si>
  <si>
    <t xml:space="preserve">粤BJS597    </t>
  </si>
  <si>
    <t xml:space="preserve">粤BJS845    </t>
  </si>
  <si>
    <t xml:space="preserve">粤BHR536    </t>
  </si>
  <si>
    <t xml:space="preserve">粤BHA859    </t>
  </si>
  <si>
    <t xml:space="preserve">粤BHM548    </t>
  </si>
  <si>
    <t xml:space="preserve">粤BJT778    </t>
  </si>
  <si>
    <t>李土</t>
  </si>
  <si>
    <t>中运土</t>
  </si>
  <si>
    <t>粤BJQ805</t>
  </si>
  <si>
    <t>粤BHE959</t>
  </si>
  <si>
    <t>粤BJT148</t>
  </si>
  <si>
    <t>粤BHY743</t>
  </si>
  <si>
    <t xml:space="preserve">粤BJQ805    </t>
  </si>
  <si>
    <t xml:space="preserve">粤BHY743    </t>
  </si>
  <si>
    <t xml:space="preserve">粤BJT148    </t>
  </si>
  <si>
    <t xml:space="preserve">粤BHE959    </t>
  </si>
  <si>
    <t>万顺达</t>
  </si>
  <si>
    <t>粤BHY481</t>
  </si>
  <si>
    <t>粤BJB433</t>
  </si>
  <si>
    <t>粤BJV673</t>
  </si>
  <si>
    <t>粤BHB296</t>
  </si>
  <si>
    <t>粤BJG815</t>
  </si>
  <si>
    <t>粤BJJ149</t>
  </si>
  <si>
    <t>粤BHD119</t>
  </si>
  <si>
    <t>粤BJG216</t>
  </si>
  <si>
    <t>粤BJB732</t>
  </si>
  <si>
    <t>粤BMC493</t>
  </si>
  <si>
    <t xml:space="preserve">粤BHB296    </t>
  </si>
  <si>
    <t>豪</t>
  </si>
  <si>
    <t xml:space="preserve">粤BJV673    </t>
  </si>
  <si>
    <t xml:space="preserve">粤BJB433    </t>
  </si>
  <si>
    <t xml:space="preserve">粤BHY481    </t>
  </si>
  <si>
    <t xml:space="preserve">粤BMC493    </t>
  </si>
  <si>
    <t xml:space="preserve">粤BJB732    </t>
  </si>
  <si>
    <t xml:space="preserve">粤BJG216    </t>
  </si>
  <si>
    <t xml:space="preserve">粤BHD119    </t>
  </si>
  <si>
    <t xml:space="preserve">粤BJJ149    </t>
  </si>
  <si>
    <t xml:space="preserve">粤BJG815    </t>
  </si>
  <si>
    <t>多出的</t>
  </si>
  <si>
    <t>冀A222B2</t>
  </si>
  <si>
    <t>皖CG7206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</si>
</sst>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9">
    <font>
      <sz val="11"/>
      <color theme="1"/>
      <name val="等线"/>
      <charset val="134"/>
      <scheme val="minor"/>
    </font>
    <font>
      <b/>
      <sz val="14"/>
      <name val="宋体"/>
      <charset val="134"/>
    </font>
    <font>
      <b/>
      <sz val="16"/>
      <name val="宋体"/>
      <charset val="134"/>
    </font>
    <font>
      <sz val="11"/>
      <name val="宋体"/>
      <charset val="134"/>
    </font>
    <font>
      <b/>
      <sz val="12"/>
      <color rgb="FFFF0000"/>
      <name val="宋体"/>
      <charset val="134"/>
    </font>
    <font>
      <sz val="11"/>
      <color indexed="8"/>
      <name val="等线"/>
      <charset val="134"/>
      <scheme val="minor"/>
    </font>
    <font>
      <sz val="11"/>
      <name val="等线"/>
      <charset val="134"/>
      <scheme val="minor"/>
    </font>
    <font>
      <b/>
      <sz val="12"/>
      <name val="宋体"/>
      <charset val="134"/>
    </font>
    <font>
      <b/>
      <sz val="12"/>
      <color theme="1"/>
      <name val="宋体"/>
      <charset val="134"/>
    </font>
    <font>
      <b/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51">
    <xf numFmtId="0" fontId="0" fillId="0" borderId="0" xfId="0"/>
    <xf numFmtId="14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0" fillId="0" borderId="1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14" fontId="5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14" fontId="5" fillId="0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0" fillId="0" borderId="5" xfId="0" applyBorder="1"/>
    <xf numFmtId="14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14" fontId="0" fillId="0" borderId="1" xfId="0" applyNumberFormat="1" applyBorder="1"/>
    <xf numFmtId="0" fontId="3" fillId="0" borderId="1" xfId="0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0" fillId="3" borderId="0" xfId="0" applyFill="1"/>
    <xf numFmtId="4" fontId="0" fillId="0" borderId="1" xfId="0" applyNumberFormat="1" applyBorder="1"/>
    <xf numFmtId="14" fontId="5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0" fillId="3" borderId="1" xfId="0" applyFill="1" applyBorder="1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4" fontId="0" fillId="0" borderId="0" xfId="0" applyNumberFormat="1"/>
    <xf numFmtId="0" fontId="9" fillId="0" borderId="1" xfId="0" applyFont="1" applyBorder="1"/>
    <xf numFmtId="0" fontId="0" fillId="0" borderId="0" xfId="0" applyFill="1"/>
    <xf numFmtId="0" fontId="0" fillId="3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1" xfId="0" applyBorder="1" applyAlignment="1"/>
    <xf numFmtId="0" fontId="0" fillId="3" borderId="1" xfId="0" applyFill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eetMetadata" Target="metadata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L186"/>
  <sheetViews>
    <sheetView topLeftCell="A156" workbookViewId="0">
      <selection activeCell="A181" sqref="A181:E186"/>
    </sheetView>
  </sheetViews>
  <sheetFormatPr defaultColWidth="9" defaultRowHeight="14.25"/>
  <cols>
    <col min="1" max="1" width="10.2666666666667" customWidth="1"/>
    <col min="2" max="2" width="12.4666666666667" customWidth="1"/>
  </cols>
  <sheetData>
    <row r="1" ht="20.25" spans="1:12">
      <c r="A1" s="1" t="s">
        <v>0</v>
      </c>
      <c r="B1" s="2" t="s">
        <v>1</v>
      </c>
      <c r="C1" s="3"/>
      <c r="D1" s="4"/>
      <c r="E1" s="32"/>
      <c r="F1" s="6" t="s">
        <v>2</v>
      </c>
      <c r="G1" s="33"/>
      <c r="K1" t="str" cm="1">
        <f t="array" ref="K1:K56">_xlfn.TOCOL(A2:G9)</f>
        <v>粤V5X031</v>
      </c>
      <c r="L1" t="s">
        <v>3</v>
      </c>
    </row>
    <row r="2" spans="1:12">
      <c r="A2" s="34" t="s">
        <v>3</v>
      </c>
      <c r="B2" s="11" t="s">
        <v>4</v>
      </c>
      <c r="C2" s="36" t="s">
        <v>5</v>
      </c>
      <c r="D2" s="11" t="s">
        <v>6</v>
      </c>
      <c r="E2" s="11" t="s">
        <v>7</v>
      </c>
      <c r="F2" s="30" t="s">
        <v>8</v>
      </c>
      <c r="G2" s="14" t="s">
        <v>9</v>
      </c>
      <c r="K2" t="str">
        <v>赣FD1737</v>
      </c>
      <c r="L2" t="s">
        <v>4</v>
      </c>
    </row>
    <row r="3" spans="1:12">
      <c r="A3" s="31" t="s">
        <v>10</v>
      </c>
      <c r="B3" s="11" t="s">
        <v>11</v>
      </c>
      <c r="C3" s="11" t="s">
        <v>12</v>
      </c>
      <c r="D3" s="14" t="s">
        <v>13</v>
      </c>
      <c r="E3" s="14" t="s">
        <v>14</v>
      </c>
      <c r="F3" s="30" t="s">
        <v>15</v>
      </c>
      <c r="G3" s="14" t="s">
        <v>16</v>
      </c>
      <c r="K3" t="str">
        <v>赣C2263X</v>
      </c>
      <c r="L3" t="s">
        <v>5</v>
      </c>
    </row>
    <row r="4" spans="1:12">
      <c r="A4" s="29" t="s">
        <v>17</v>
      </c>
      <c r="B4" s="14" t="s">
        <v>18</v>
      </c>
      <c r="C4" s="11"/>
      <c r="D4" s="14"/>
      <c r="E4" s="14"/>
      <c r="F4" s="14"/>
      <c r="G4" s="14"/>
      <c r="K4" t="str">
        <v>粤V1N875</v>
      </c>
      <c r="L4" t="s">
        <v>6</v>
      </c>
    </row>
    <row r="5" spans="1:12">
      <c r="A5" s="11"/>
      <c r="B5" s="11"/>
      <c r="C5" s="11"/>
      <c r="D5" s="11"/>
      <c r="E5" s="14"/>
      <c r="F5" s="14"/>
      <c r="G5" s="14"/>
      <c r="K5" t="str">
        <v>粤V05307</v>
      </c>
      <c r="L5" t="s">
        <v>7</v>
      </c>
    </row>
    <row r="6" spans="1:12">
      <c r="A6" s="29"/>
      <c r="B6" s="14"/>
      <c r="C6" s="30"/>
      <c r="D6" s="14"/>
      <c r="E6" s="14"/>
      <c r="F6" s="14"/>
      <c r="G6" s="14"/>
      <c r="K6" t="str">
        <v>豫N28B3V</v>
      </c>
      <c r="L6" t="s">
        <v>8</v>
      </c>
    </row>
    <row r="7" spans="1:12">
      <c r="A7" s="29"/>
      <c r="B7" s="14"/>
      <c r="C7" s="30"/>
      <c r="D7" s="14"/>
      <c r="E7" s="14"/>
      <c r="F7" s="14"/>
      <c r="G7" s="14"/>
      <c r="K7" t="str">
        <v>粤V65710</v>
      </c>
      <c r="L7" t="s">
        <v>9</v>
      </c>
    </row>
    <row r="8" spans="1:12">
      <c r="A8" s="29"/>
      <c r="B8" s="14"/>
      <c r="C8" s="30"/>
      <c r="D8" s="14"/>
      <c r="E8" s="14"/>
      <c r="F8" s="14"/>
      <c r="G8" s="14"/>
      <c r="K8" t="str">
        <v>鲁MCG668</v>
      </c>
      <c r="L8" t="s">
        <v>10</v>
      </c>
    </row>
    <row r="9" spans="1:12">
      <c r="A9" s="29"/>
      <c r="B9" s="14"/>
      <c r="C9" s="30"/>
      <c r="D9" s="14"/>
      <c r="E9" s="14"/>
      <c r="F9" s="14"/>
      <c r="G9" s="14"/>
      <c r="K9" t="str">
        <v>皖KS7995</v>
      </c>
      <c r="L9" t="s">
        <v>11</v>
      </c>
    </row>
    <row r="10" spans="11:12">
      <c r="K10" t="str">
        <v>赣CCJ156</v>
      </c>
      <c r="L10" t="s">
        <v>12</v>
      </c>
    </row>
    <row r="11" spans="1:12">
      <c r="A11" s="20" t="s">
        <v>19</v>
      </c>
      <c r="B11" s="21" t="s">
        <v>20</v>
      </c>
      <c r="C11" s="22" t="s">
        <v>21</v>
      </c>
      <c r="D11" s="21" t="s">
        <v>22</v>
      </c>
      <c r="E11" s="21" t="s">
        <v>23</v>
      </c>
      <c r="F11" s="21" t="s">
        <v>24</v>
      </c>
      <c r="G11" s="21" t="s">
        <v>25</v>
      </c>
      <c r="K11" t="str">
        <v>粤ABC657</v>
      </c>
      <c r="L11" t="s">
        <v>13</v>
      </c>
    </row>
    <row r="12" spans="1:12">
      <c r="A12" s="26">
        <v>45923</v>
      </c>
      <c r="B12" s="27" t="s">
        <v>26</v>
      </c>
      <c r="C12" s="27">
        <v>225</v>
      </c>
      <c r="D12" s="25" t="str">
        <f t="shared" ref="D12" si="0">IF(C12&gt;=200,"5.75",IF(C12&lt;200,"5.95"))</f>
        <v>5.75</v>
      </c>
      <c r="E12" s="11">
        <f t="shared" ref="E12" si="1">INT(C12*D12)</f>
        <v>1293</v>
      </c>
      <c r="F12" s="13"/>
      <c r="G12" s="13"/>
      <c r="K12" t="str">
        <v>粤AFQ100</v>
      </c>
      <c r="L12" t="s">
        <v>14</v>
      </c>
    </row>
    <row r="13" spans="1:12">
      <c r="A13" s="26">
        <v>45923</v>
      </c>
      <c r="B13" s="27" t="s">
        <v>27</v>
      </c>
      <c r="C13" s="27">
        <v>469</v>
      </c>
      <c r="D13" s="25" t="str">
        <f t="shared" ref="D13:D22" si="2">IF(C13&gt;=200,"5.75",IF(C13&lt;200,"5.95"))</f>
        <v>5.75</v>
      </c>
      <c r="E13" s="11">
        <f t="shared" ref="E13:E22" si="3">INT(C13*D13)</f>
        <v>2696</v>
      </c>
      <c r="F13" s="13"/>
      <c r="G13" s="13"/>
      <c r="K13" t="str">
        <v>鄂FJR329</v>
      </c>
      <c r="L13" t="s">
        <v>15</v>
      </c>
    </row>
    <row r="14" spans="1:12">
      <c r="A14" s="26">
        <v>45924</v>
      </c>
      <c r="B14" s="27" t="s">
        <v>28</v>
      </c>
      <c r="C14" s="27">
        <v>400</v>
      </c>
      <c r="D14" s="25" t="str">
        <f t="shared" si="2"/>
        <v>5.75</v>
      </c>
      <c r="E14" s="11">
        <f t="shared" si="3"/>
        <v>2300</v>
      </c>
      <c r="F14" s="13"/>
      <c r="G14" s="13"/>
      <c r="K14" t="str">
        <v>粤V83820</v>
      </c>
      <c r="L14" t="s">
        <v>16</v>
      </c>
    </row>
    <row r="15" spans="1:12">
      <c r="A15" s="26">
        <v>45924</v>
      </c>
      <c r="B15" s="27" t="s">
        <v>29</v>
      </c>
      <c r="C15" s="27">
        <v>105</v>
      </c>
      <c r="D15" s="25">
        <v>5.75</v>
      </c>
      <c r="E15" s="11">
        <f t="shared" si="3"/>
        <v>603</v>
      </c>
      <c r="F15" s="13"/>
      <c r="G15" s="13"/>
      <c r="K15" t="str">
        <v>赣C5N376</v>
      </c>
      <c r="L15" t="s">
        <v>17</v>
      </c>
    </row>
    <row r="16" spans="1:12">
      <c r="A16" s="26">
        <v>45924</v>
      </c>
      <c r="B16" s="27" t="s">
        <v>29</v>
      </c>
      <c r="C16" s="27">
        <v>400</v>
      </c>
      <c r="D16" s="25" t="str">
        <f t="shared" si="2"/>
        <v>5.75</v>
      </c>
      <c r="E16" s="11">
        <f t="shared" si="3"/>
        <v>2300</v>
      </c>
      <c r="F16" s="13"/>
      <c r="G16" s="13"/>
      <c r="K16" t="str">
        <v>赣CC7580</v>
      </c>
      <c r="L16" t="s">
        <v>18</v>
      </c>
    </row>
    <row r="17" spans="1:11">
      <c r="A17" s="26">
        <v>45925</v>
      </c>
      <c r="B17" s="27" t="s">
        <v>28</v>
      </c>
      <c r="C17" s="27">
        <v>45.72</v>
      </c>
      <c r="D17" s="25" t="str">
        <f t="shared" si="2"/>
        <v>5.95</v>
      </c>
      <c r="E17" s="11">
        <f t="shared" si="3"/>
        <v>272</v>
      </c>
      <c r="F17" s="13"/>
      <c r="G17" s="13"/>
      <c r="K17">
        <v>0</v>
      </c>
    </row>
    <row r="18" spans="1:11">
      <c r="A18" s="26">
        <v>45925</v>
      </c>
      <c r="B18" s="27" t="s">
        <v>29</v>
      </c>
      <c r="C18" s="27">
        <v>195</v>
      </c>
      <c r="D18" s="25">
        <v>5.75</v>
      </c>
      <c r="E18" s="11">
        <f t="shared" si="3"/>
        <v>1121</v>
      </c>
      <c r="F18" s="13"/>
      <c r="G18" s="13"/>
      <c r="K18">
        <v>0</v>
      </c>
    </row>
    <row r="19" spans="1:11">
      <c r="A19" s="26">
        <v>45925</v>
      </c>
      <c r="B19" s="27" t="s">
        <v>30</v>
      </c>
      <c r="C19" s="27">
        <v>299.12</v>
      </c>
      <c r="D19" s="25" t="str">
        <f t="shared" si="2"/>
        <v>5.75</v>
      </c>
      <c r="E19" s="11">
        <f t="shared" si="3"/>
        <v>1719</v>
      </c>
      <c r="F19" s="13"/>
      <c r="G19" s="13"/>
      <c r="K19">
        <v>0</v>
      </c>
    </row>
    <row r="20" spans="1:11">
      <c r="A20" s="26">
        <v>45925</v>
      </c>
      <c r="B20" s="27" t="s">
        <v>31</v>
      </c>
      <c r="C20" s="27">
        <v>71.45</v>
      </c>
      <c r="D20" s="25">
        <v>5.75</v>
      </c>
      <c r="E20" s="11">
        <f t="shared" si="3"/>
        <v>410</v>
      </c>
      <c r="F20" s="13"/>
      <c r="G20" s="13"/>
      <c r="K20">
        <v>0</v>
      </c>
    </row>
    <row r="21" spans="1:11">
      <c r="A21" s="26">
        <v>45925</v>
      </c>
      <c r="B21" s="27" t="s">
        <v>28</v>
      </c>
      <c r="C21" s="27">
        <v>51.93</v>
      </c>
      <c r="D21" s="25">
        <v>5.75</v>
      </c>
      <c r="E21" s="11">
        <f t="shared" si="3"/>
        <v>298</v>
      </c>
      <c r="F21" s="13"/>
      <c r="G21" s="13"/>
      <c r="K21">
        <v>0</v>
      </c>
    </row>
    <row r="22" spans="1:11">
      <c r="A22" s="26">
        <v>45925</v>
      </c>
      <c r="B22" s="27" t="s">
        <v>29</v>
      </c>
      <c r="C22" s="27">
        <v>530</v>
      </c>
      <c r="D22" s="25" t="str">
        <f t="shared" si="2"/>
        <v>5.75</v>
      </c>
      <c r="E22" s="11">
        <f t="shared" si="3"/>
        <v>3047</v>
      </c>
      <c r="F22" s="13"/>
      <c r="G22" s="13"/>
      <c r="K22">
        <v>0</v>
      </c>
    </row>
    <row r="23" spans="1:11">
      <c r="A23" s="26">
        <v>45926</v>
      </c>
      <c r="B23" s="27" t="s">
        <v>32</v>
      </c>
      <c r="C23" s="27">
        <v>300</v>
      </c>
      <c r="D23" s="25" t="str">
        <f t="shared" ref="D23:D53" si="4">IF(C23&gt;=200,"5.75",IF(C23&lt;200,"5.95"))</f>
        <v>5.75</v>
      </c>
      <c r="E23" s="11">
        <f t="shared" ref="E23:E66" si="5">INT(C23*D23)</f>
        <v>1725</v>
      </c>
      <c r="F23" s="13"/>
      <c r="G23" s="13"/>
      <c r="K23">
        <v>0</v>
      </c>
    </row>
    <row r="24" spans="1:11">
      <c r="A24" s="26">
        <v>45926</v>
      </c>
      <c r="B24" s="27" t="s">
        <v>33</v>
      </c>
      <c r="C24" s="27">
        <v>380</v>
      </c>
      <c r="D24" s="25" t="str">
        <f t="shared" si="4"/>
        <v>5.75</v>
      </c>
      <c r="E24" s="11">
        <f t="shared" si="5"/>
        <v>2185</v>
      </c>
      <c r="F24" s="13"/>
      <c r="G24" s="13"/>
      <c r="K24">
        <v>0</v>
      </c>
    </row>
    <row r="25" spans="1:11">
      <c r="A25" s="26">
        <v>45926</v>
      </c>
      <c r="B25" s="27" t="s">
        <v>34</v>
      </c>
      <c r="C25" s="27">
        <v>325</v>
      </c>
      <c r="D25" s="25" t="str">
        <f t="shared" si="4"/>
        <v>5.75</v>
      </c>
      <c r="E25" s="11">
        <f t="shared" si="5"/>
        <v>1868</v>
      </c>
      <c r="F25" s="13"/>
      <c r="G25" s="13"/>
      <c r="K25">
        <v>0</v>
      </c>
    </row>
    <row r="26" spans="1:11">
      <c r="A26" s="26">
        <v>45926</v>
      </c>
      <c r="B26" s="27" t="s">
        <v>28</v>
      </c>
      <c r="C26" s="27">
        <v>509.26</v>
      </c>
      <c r="D26" s="25" t="str">
        <f t="shared" si="4"/>
        <v>5.75</v>
      </c>
      <c r="E26" s="11">
        <f t="shared" si="5"/>
        <v>2928</v>
      </c>
      <c r="F26" s="13"/>
      <c r="G26" s="13"/>
      <c r="K26">
        <v>0</v>
      </c>
    </row>
    <row r="27" spans="1:11">
      <c r="A27" s="26">
        <v>45926</v>
      </c>
      <c r="B27" s="27" t="s">
        <v>35</v>
      </c>
      <c r="C27" s="27">
        <v>318.75</v>
      </c>
      <c r="D27" s="25" t="str">
        <f t="shared" si="4"/>
        <v>5.75</v>
      </c>
      <c r="E27" s="11">
        <f t="shared" si="5"/>
        <v>1832</v>
      </c>
      <c r="F27" s="13"/>
      <c r="G27" s="13"/>
      <c r="K27">
        <v>0</v>
      </c>
    </row>
    <row r="28" spans="1:11">
      <c r="A28" s="26">
        <v>45926</v>
      </c>
      <c r="B28" s="27" t="s">
        <v>36</v>
      </c>
      <c r="C28" s="27">
        <v>520.01</v>
      </c>
      <c r="D28" s="25" t="str">
        <f t="shared" si="4"/>
        <v>5.75</v>
      </c>
      <c r="E28" s="11">
        <f t="shared" si="5"/>
        <v>2990</v>
      </c>
      <c r="F28" s="13"/>
      <c r="G28" s="13"/>
      <c r="K28">
        <v>0</v>
      </c>
    </row>
    <row r="29" spans="1:11">
      <c r="A29" s="26">
        <v>45926</v>
      </c>
      <c r="B29" s="27" t="s">
        <v>37</v>
      </c>
      <c r="C29" s="27">
        <v>300.02</v>
      </c>
      <c r="D29" s="25" t="str">
        <f t="shared" si="4"/>
        <v>5.75</v>
      </c>
      <c r="E29" s="11">
        <f t="shared" si="5"/>
        <v>1725</v>
      </c>
      <c r="F29" s="11"/>
      <c r="G29" s="11"/>
      <c r="K29">
        <v>0</v>
      </c>
    </row>
    <row r="30" spans="1:11">
      <c r="A30" s="26">
        <v>45926</v>
      </c>
      <c r="B30" s="27" t="s">
        <v>38</v>
      </c>
      <c r="C30" s="27">
        <v>610</v>
      </c>
      <c r="D30" s="25" t="str">
        <f t="shared" si="4"/>
        <v>5.75</v>
      </c>
      <c r="E30" s="11">
        <f t="shared" si="5"/>
        <v>3507</v>
      </c>
      <c r="F30" s="11"/>
      <c r="G30" s="11"/>
      <c r="K30">
        <v>0</v>
      </c>
    </row>
    <row r="31" spans="1:11">
      <c r="A31" s="26">
        <v>45926</v>
      </c>
      <c r="B31" s="27" t="s">
        <v>32</v>
      </c>
      <c r="C31" s="27">
        <v>1282.49</v>
      </c>
      <c r="D31" s="25" t="str">
        <f t="shared" si="4"/>
        <v>5.75</v>
      </c>
      <c r="E31" s="11">
        <f t="shared" si="5"/>
        <v>7374</v>
      </c>
      <c r="F31" s="11"/>
      <c r="G31" s="11"/>
      <c r="K31">
        <v>0</v>
      </c>
    </row>
    <row r="32" spans="1:11">
      <c r="A32" s="26">
        <v>45926</v>
      </c>
      <c r="B32" s="27" t="s">
        <v>33</v>
      </c>
      <c r="C32" s="27">
        <v>403.52</v>
      </c>
      <c r="D32" s="25" t="str">
        <f t="shared" si="4"/>
        <v>5.75</v>
      </c>
      <c r="E32" s="11">
        <f t="shared" si="5"/>
        <v>2320</v>
      </c>
      <c r="F32" s="11"/>
      <c r="G32" s="11"/>
      <c r="K32">
        <v>0</v>
      </c>
    </row>
    <row r="33" spans="1:11">
      <c r="A33" s="26">
        <v>45926</v>
      </c>
      <c r="B33" s="27" t="s">
        <v>34</v>
      </c>
      <c r="C33" s="27">
        <v>408</v>
      </c>
      <c r="D33" s="25" t="str">
        <f t="shared" si="4"/>
        <v>5.75</v>
      </c>
      <c r="E33" s="11">
        <f t="shared" si="5"/>
        <v>2346</v>
      </c>
      <c r="F33" s="11"/>
      <c r="G33" s="11"/>
      <c r="K33">
        <v>0</v>
      </c>
    </row>
    <row r="34" spans="1:11">
      <c r="A34" s="26">
        <v>45926</v>
      </c>
      <c r="B34" s="27" t="s">
        <v>35</v>
      </c>
      <c r="C34" s="27">
        <v>347.82</v>
      </c>
      <c r="D34" s="25" t="str">
        <f t="shared" si="4"/>
        <v>5.75</v>
      </c>
      <c r="E34" s="11">
        <f t="shared" si="5"/>
        <v>1999</v>
      </c>
      <c r="F34" s="11"/>
      <c r="G34" s="11"/>
      <c r="K34">
        <v>0</v>
      </c>
    </row>
    <row r="35" spans="1:11">
      <c r="A35" s="26">
        <v>45926</v>
      </c>
      <c r="B35" s="27" t="s">
        <v>38</v>
      </c>
      <c r="C35" s="27">
        <v>401.07</v>
      </c>
      <c r="D35" s="25" t="str">
        <f t="shared" si="4"/>
        <v>5.75</v>
      </c>
      <c r="E35" s="11">
        <f t="shared" si="5"/>
        <v>2306</v>
      </c>
      <c r="F35" s="11"/>
      <c r="G35" s="11"/>
      <c r="K35">
        <v>0</v>
      </c>
    </row>
    <row r="36" spans="1:11">
      <c r="A36" s="26">
        <v>45926</v>
      </c>
      <c r="B36" s="27" t="s">
        <v>37</v>
      </c>
      <c r="C36" s="27">
        <v>500</v>
      </c>
      <c r="D36" s="25" t="str">
        <f t="shared" si="4"/>
        <v>5.75</v>
      </c>
      <c r="E36" s="11">
        <f t="shared" si="5"/>
        <v>2875</v>
      </c>
      <c r="F36" s="11"/>
      <c r="G36" s="11"/>
      <c r="K36">
        <v>0</v>
      </c>
    </row>
    <row r="37" spans="1:11">
      <c r="A37" s="26">
        <v>45926</v>
      </c>
      <c r="B37" s="27" t="s">
        <v>36</v>
      </c>
      <c r="C37" s="27">
        <v>500</v>
      </c>
      <c r="D37" s="25" t="str">
        <f t="shared" si="4"/>
        <v>5.75</v>
      </c>
      <c r="E37" s="11">
        <f t="shared" si="5"/>
        <v>2875</v>
      </c>
      <c r="K37">
        <v>0</v>
      </c>
    </row>
    <row r="38" spans="1:11">
      <c r="A38" s="26">
        <v>45926</v>
      </c>
      <c r="B38" s="27" t="s">
        <v>29</v>
      </c>
      <c r="C38" s="27">
        <v>529</v>
      </c>
      <c r="D38" s="25" t="str">
        <f t="shared" si="4"/>
        <v>5.75</v>
      </c>
      <c r="E38" s="11">
        <f t="shared" si="5"/>
        <v>3041</v>
      </c>
      <c r="K38">
        <v>0</v>
      </c>
    </row>
    <row r="39" spans="1:11">
      <c r="A39" s="26">
        <v>45927</v>
      </c>
      <c r="B39" s="27" t="s">
        <v>33</v>
      </c>
      <c r="C39" s="27">
        <v>230</v>
      </c>
      <c r="D39" s="25" t="str">
        <f t="shared" si="4"/>
        <v>5.75</v>
      </c>
      <c r="E39" s="11">
        <f t="shared" si="5"/>
        <v>1322</v>
      </c>
      <c r="K39">
        <v>0</v>
      </c>
    </row>
    <row r="40" spans="1:11">
      <c r="A40" s="26">
        <v>45927</v>
      </c>
      <c r="B40" s="27" t="s">
        <v>36</v>
      </c>
      <c r="C40" s="27">
        <v>430</v>
      </c>
      <c r="D40" s="25" t="str">
        <f t="shared" si="4"/>
        <v>5.75</v>
      </c>
      <c r="E40" s="11">
        <f t="shared" si="5"/>
        <v>2472</v>
      </c>
      <c r="K40">
        <v>0</v>
      </c>
    </row>
    <row r="41" spans="1:11">
      <c r="A41" s="26">
        <v>45927</v>
      </c>
      <c r="B41" s="27" t="s">
        <v>37</v>
      </c>
      <c r="C41" s="27">
        <v>300</v>
      </c>
      <c r="D41" s="25" t="str">
        <f t="shared" si="4"/>
        <v>5.75</v>
      </c>
      <c r="E41" s="11">
        <f t="shared" si="5"/>
        <v>1725</v>
      </c>
      <c r="K41">
        <v>0</v>
      </c>
    </row>
    <row r="42" spans="1:11">
      <c r="A42" s="26">
        <v>45927</v>
      </c>
      <c r="B42" s="27" t="s">
        <v>28</v>
      </c>
      <c r="C42" s="27">
        <v>680</v>
      </c>
      <c r="D42" s="25" t="str">
        <f t="shared" si="4"/>
        <v>5.75</v>
      </c>
      <c r="E42" s="11">
        <f t="shared" si="5"/>
        <v>3910</v>
      </c>
      <c r="K42">
        <v>0</v>
      </c>
    </row>
    <row r="43" spans="1:11">
      <c r="A43" s="26">
        <v>45927</v>
      </c>
      <c r="B43" s="27" t="s">
        <v>38</v>
      </c>
      <c r="C43" s="27">
        <v>230</v>
      </c>
      <c r="D43" s="25" t="str">
        <f t="shared" si="4"/>
        <v>5.75</v>
      </c>
      <c r="E43" s="11">
        <f t="shared" si="5"/>
        <v>1322</v>
      </c>
      <c r="K43">
        <v>0</v>
      </c>
    </row>
    <row r="44" spans="1:11">
      <c r="A44" s="26">
        <v>45927</v>
      </c>
      <c r="B44" s="27" t="s">
        <v>28</v>
      </c>
      <c r="C44" s="27">
        <v>420</v>
      </c>
      <c r="D44" s="25" t="str">
        <f t="shared" si="4"/>
        <v>5.75</v>
      </c>
      <c r="E44" s="11">
        <f t="shared" si="5"/>
        <v>2415</v>
      </c>
      <c r="K44">
        <v>0</v>
      </c>
    </row>
    <row r="45" spans="1:11">
      <c r="A45" s="26">
        <v>45927</v>
      </c>
      <c r="B45" s="27" t="s">
        <v>32</v>
      </c>
      <c r="C45" s="27">
        <v>350</v>
      </c>
      <c r="D45" s="25" t="str">
        <f t="shared" si="4"/>
        <v>5.75</v>
      </c>
      <c r="E45" s="11">
        <f t="shared" si="5"/>
        <v>2012</v>
      </c>
      <c r="K45">
        <v>0</v>
      </c>
    </row>
    <row r="46" spans="1:11">
      <c r="A46" s="26">
        <v>45927</v>
      </c>
      <c r="B46" s="27" t="s">
        <v>33</v>
      </c>
      <c r="C46" s="27">
        <v>407</v>
      </c>
      <c r="D46" s="25" t="str">
        <f t="shared" si="4"/>
        <v>5.75</v>
      </c>
      <c r="E46" s="11">
        <f t="shared" si="5"/>
        <v>2340</v>
      </c>
      <c r="K46">
        <v>0</v>
      </c>
    </row>
    <row r="47" spans="1:11">
      <c r="A47" s="26">
        <v>45927</v>
      </c>
      <c r="B47" s="27" t="s">
        <v>34</v>
      </c>
      <c r="C47" s="27">
        <v>427</v>
      </c>
      <c r="D47" s="25" t="str">
        <f t="shared" si="4"/>
        <v>5.75</v>
      </c>
      <c r="E47" s="11">
        <f t="shared" si="5"/>
        <v>2455</v>
      </c>
      <c r="K47">
        <v>0</v>
      </c>
    </row>
    <row r="48" spans="1:11">
      <c r="A48" s="26">
        <v>45927</v>
      </c>
      <c r="B48" s="27" t="s">
        <v>35</v>
      </c>
      <c r="C48" s="27">
        <v>250</v>
      </c>
      <c r="D48" s="25" t="str">
        <f t="shared" si="4"/>
        <v>5.75</v>
      </c>
      <c r="E48" s="11">
        <f t="shared" si="5"/>
        <v>1437</v>
      </c>
      <c r="K48">
        <v>0</v>
      </c>
    </row>
    <row r="49" spans="1:11">
      <c r="A49" s="26">
        <v>45927</v>
      </c>
      <c r="B49" s="27" t="s">
        <v>36</v>
      </c>
      <c r="C49" s="27">
        <v>430</v>
      </c>
      <c r="D49" s="25" t="str">
        <f t="shared" si="4"/>
        <v>5.75</v>
      </c>
      <c r="E49" s="11">
        <f t="shared" si="5"/>
        <v>2472</v>
      </c>
      <c r="K49">
        <v>0</v>
      </c>
    </row>
    <row r="50" spans="1:11">
      <c r="A50" s="26">
        <v>45927</v>
      </c>
      <c r="B50" s="27" t="s">
        <v>37</v>
      </c>
      <c r="C50" s="27">
        <v>222.99</v>
      </c>
      <c r="D50" s="25" t="str">
        <f t="shared" si="4"/>
        <v>5.75</v>
      </c>
      <c r="E50" s="11">
        <f t="shared" si="5"/>
        <v>1282</v>
      </c>
      <c r="K50">
        <v>0</v>
      </c>
    </row>
    <row r="51" spans="1:11">
      <c r="A51" s="26">
        <v>45927</v>
      </c>
      <c r="B51" s="27" t="s">
        <v>38</v>
      </c>
      <c r="C51" s="27">
        <v>796.07</v>
      </c>
      <c r="D51" s="25" t="str">
        <f t="shared" si="4"/>
        <v>5.75</v>
      </c>
      <c r="E51" s="11">
        <f t="shared" si="5"/>
        <v>4577</v>
      </c>
      <c r="K51">
        <v>0</v>
      </c>
    </row>
    <row r="52" spans="1:11">
      <c r="A52" s="26">
        <v>45927</v>
      </c>
      <c r="B52" s="27" t="s">
        <v>31</v>
      </c>
      <c r="C52" s="27">
        <v>400</v>
      </c>
      <c r="D52" s="25" t="str">
        <f t="shared" si="4"/>
        <v>5.75</v>
      </c>
      <c r="E52" s="11">
        <f t="shared" si="5"/>
        <v>2300</v>
      </c>
      <c r="K52">
        <v>0</v>
      </c>
    </row>
    <row r="53" spans="1:11">
      <c r="A53" s="26">
        <v>45927</v>
      </c>
      <c r="B53" s="27" t="s">
        <v>30</v>
      </c>
      <c r="C53" s="27">
        <v>400</v>
      </c>
      <c r="D53" s="25" t="str">
        <f t="shared" si="4"/>
        <v>5.75</v>
      </c>
      <c r="E53" s="11">
        <f t="shared" si="5"/>
        <v>2300</v>
      </c>
      <c r="K53">
        <v>0</v>
      </c>
    </row>
    <row r="54" spans="1:11">
      <c r="A54" s="26">
        <v>45928</v>
      </c>
      <c r="B54" s="27" t="s">
        <v>36</v>
      </c>
      <c r="C54" s="27">
        <v>273</v>
      </c>
      <c r="D54" s="25" t="str">
        <f>IF(C54&gt;=200,"5.85",IF(C54&lt;200,"5.95"))</f>
        <v>5.85</v>
      </c>
      <c r="E54" s="11">
        <f t="shared" si="5"/>
        <v>1597</v>
      </c>
      <c r="K54">
        <v>0</v>
      </c>
    </row>
    <row r="55" spans="1:11">
      <c r="A55" s="26">
        <v>45928</v>
      </c>
      <c r="B55" s="27" t="s">
        <v>37</v>
      </c>
      <c r="C55" s="27">
        <v>355.84</v>
      </c>
      <c r="D55" s="25" t="str">
        <f t="shared" ref="D55:D66" si="6">IF(C55&gt;=200,"5.85",IF(C55&lt;200,"5.95"))</f>
        <v>5.85</v>
      </c>
      <c r="E55" s="11">
        <f t="shared" si="5"/>
        <v>2081</v>
      </c>
      <c r="K55">
        <v>0</v>
      </c>
    </row>
    <row r="56" spans="1:11">
      <c r="A56" s="26">
        <v>45928</v>
      </c>
      <c r="B56" s="27" t="s">
        <v>38</v>
      </c>
      <c r="C56" s="27">
        <v>210</v>
      </c>
      <c r="D56" s="25" t="str">
        <f t="shared" si="6"/>
        <v>5.85</v>
      </c>
      <c r="E56" s="11">
        <f t="shared" si="5"/>
        <v>1228</v>
      </c>
      <c r="K56">
        <v>0</v>
      </c>
    </row>
    <row r="57" spans="1:5">
      <c r="A57" s="26">
        <v>45928</v>
      </c>
      <c r="B57" s="27" t="s">
        <v>28</v>
      </c>
      <c r="C57" s="27">
        <v>400</v>
      </c>
      <c r="D57" s="25" t="str">
        <f t="shared" si="6"/>
        <v>5.85</v>
      </c>
      <c r="E57" s="11">
        <f t="shared" si="5"/>
        <v>2340</v>
      </c>
    </row>
    <row r="58" spans="1:5">
      <c r="A58" s="26">
        <v>45928</v>
      </c>
      <c r="B58" s="27" t="s">
        <v>31</v>
      </c>
      <c r="C58" s="27">
        <v>470</v>
      </c>
      <c r="D58" s="25" t="str">
        <f t="shared" si="6"/>
        <v>5.85</v>
      </c>
      <c r="E58" s="11">
        <f t="shared" si="5"/>
        <v>2749</v>
      </c>
    </row>
    <row r="59" spans="1:5">
      <c r="A59" s="26">
        <v>45928</v>
      </c>
      <c r="B59" s="27" t="s">
        <v>30</v>
      </c>
      <c r="C59" s="27">
        <v>255.03</v>
      </c>
      <c r="D59" s="25" t="str">
        <f t="shared" si="6"/>
        <v>5.85</v>
      </c>
      <c r="E59" s="11">
        <f t="shared" si="5"/>
        <v>1491</v>
      </c>
    </row>
    <row r="60" spans="1:5">
      <c r="A60" s="26">
        <v>45928</v>
      </c>
      <c r="B60" s="27" t="s">
        <v>32</v>
      </c>
      <c r="C60" s="27">
        <v>213</v>
      </c>
      <c r="D60" s="25" t="str">
        <f t="shared" si="6"/>
        <v>5.85</v>
      </c>
      <c r="E60" s="11">
        <f t="shared" si="5"/>
        <v>1246</v>
      </c>
    </row>
    <row r="61" spans="1:5">
      <c r="A61" s="26">
        <v>45928</v>
      </c>
      <c r="B61" s="27" t="s">
        <v>35</v>
      </c>
      <c r="C61" s="27">
        <v>316.01</v>
      </c>
      <c r="D61" s="25" t="str">
        <f t="shared" si="6"/>
        <v>5.85</v>
      </c>
      <c r="E61" s="11">
        <f t="shared" si="5"/>
        <v>1848</v>
      </c>
    </row>
    <row r="62" spans="1:5">
      <c r="A62" s="26">
        <v>45928</v>
      </c>
      <c r="B62" s="27" t="s">
        <v>29</v>
      </c>
      <c r="C62" s="27">
        <v>73.97</v>
      </c>
      <c r="D62" s="25" t="str">
        <f t="shared" si="6"/>
        <v>5.95</v>
      </c>
      <c r="E62" s="11">
        <f t="shared" si="5"/>
        <v>440</v>
      </c>
    </row>
    <row r="63" spans="1:5">
      <c r="A63" s="26">
        <v>45928</v>
      </c>
      <c r="B63" s="27" t="s">
        <v>28</v>
      </c>
      <c r="C63" s="27">
        <v>118.64</v>
      </c>
      <c r="D63" s="25" t="str">
        <f t="shared" si="6"/>
        <v>5.95</v>
      </c>
      <c r="E63" s="11">
        <f t="shared" si="5"/>
        <v>705</v>
      </c>
    </row>
    <row r="64" spans="1:5">
      <c r="A64" s="26">
        <v>45928</v>
      </c>
      <c r="B64" s="27" t="s">
        <v>31</v>
      </c>
      <c r="C64" s="27">
        <v>120</v>
      </c>
      <c r="D64" s="25" t="str">
        <f t="shared" si="6"/>
        <v>5.95</v>
      </c>
      <c r="E64" s="11">
        <f t="shared" si="5"/>
        <v>714</v>
      </c>
    </row>
    <row r="65" spans="1:5">
      <c r="A65" s="26">
        <v>45928</v>
      </c>
      <c r="B65" s="27" t="s">
        <v>30</v>
      </c>
      <c r="C65" s="27">
        <v>92.68</v>
      </c>
      <c r="D65" s="25" t="str">
        <f t="shared" si="6"/>
        <v>5.95</v>
      </c>
      <c r="E65" s="11">
        <f t="shared" si="5"/>
        <v>551</v>
      </c>
    </row>
    <row r="66" s="35" customFormat="1" spans="1:5">
      <c r="A66" s="37">
        <v>45928</v>
      </c>
      <c r="B66" s="38" t="s">
        <v>34</v>
      </c>
      <c r="C66" s="38">
        <v>620</v>
      </c>
      <c r="D66" s="50" t="str">
        <f t="shared" si="6"/>
        <v>5.85</v>
      </c>
      <c r="E66" s="39">
        <f t="shared" si="5"/>
        <v>3627</v>
      </c>
    </row>
    <row r="67" spans="1:5">
      <c r="A67" s="26"/>
      <c r="B67" s="27"/>
      <c r="C67" s="27"/>
      <c r="D67" s="25"/>
      <c r="E67" s="11">
        <v>0</v>
      </c>
    </row>
    <row r="68" spans="1:5">
      <c r="A68" s="26">
        <v>45929</v>
      </c>
      <c r="B68" s="27" t="s">
        <v>26</v>
      </c>
      <c r="C68" s="27">
        <v>209.03</v>
      </c>
      <c r="D68" s="25" t="str">
        <f t="shared" ref="D68:D98" si="7">IF(C68&gt;=200,"5.85",IF(C68&lt;200,"5.95"))</f>
        <v>5.85</v>
      </c>
      <c r="E68" s="11">
        <f t="shared" ref="E68:E98" si="8">INT(C68*D68)</f>
        <v>1222</v>
      </c>
    </row>
    <row r="69" spans="1:5">
      <c r="A69" s="26">
        <v>45929</v>
      </c>
      <c r="B69" s="27" t="s">
        <v>39</v>
      </c>
      <c r="C69" s="27">
        <v>686.01</v>
      </c>
      <c r="D69" s="25" t="str">
        <f t="shared" si="7"/>
        <v>5.85</v>
      </c>
      <c r="E69" s="11">
        <f t="shared" si="8"/>
        <v>4013</v>
      </c>
    </row>
    <row r="70" spans="1:5">
      <c r="A70" s="26">
        <v>45929</v>
      </c>
      <c r="B70" s="27" t="s">
        <v>28</v>
      </c>
      <c r="C70" s="27">
        <v>250</v>
      </c>
      <c r="D70" s="25" t="str">
        <f t="shared" si="7"/>
        <v>5.85</v>
      </c>
      <c r="E70" s="11">
        <f t="shared" si="8"/>
        <v>1462</v>
      </c>
    </row>
    <row r="71" spans="1:5">
      <c r="A71" s="26">
        <v>45929</v>
      </c>
      <c r="B71" s="27" t="s">
        <v>33</v>
      </c>
      <c r="C71" s="27">
        <v>100</v>
      </c>
      <c r="D71" s="25" t="str">
        <f t="shared" si="7"/>
        <v>5.95</v>
      </c>
      <c r="E71" s="11">
        <f t="shared" si="8"/>
        <v>595</v>
      </c>
    </row>
    <row r="72" spans="1:5">
      <c r="A72" s="26">
        <v>45929</v>
      </c>
      <c r="B72" s="27" t="s">
        <v>36</v>
      </c>
      <c r="C72" s="27">
        <v>338.92</v>
      </c>
      <c r="D72" s="25" t="str">
        <f t="shared" si="7"/>
        <v>5.85</v>
      </c>
      <c r="E72" s="11">
        <f t="shared" si="8"/>
        <v>1982</v>
      </c>
    </row>
    <row r="73" spans="1:5">
      <c r="A73" s="26">
        <v>45929</v>
      </c>
      <c r="B73" s="27" t="s">
        <v>37</v>
      </c>
      <c r="C73" s="27">
        <v>357</v>
      </c>
      <c r="D73" s="25" t="str">
        <f t="shared" si="7"/>
        <v>5.85</v>
      </c>
      <c r="E73" s="11">
        <f t="shared" si="8"/>
        <v>2088</v>
      </c>
    </row>
    <row r="74" spans="1:5">
      <c r="A74" s="26">
        <v>45929</v>
      </c>
      <c r="B74" s="27" t="s">
        <v>38</v>
      </c>
      <c r="C74" s="27">
        <v>330</v>
      </c>
      <c r="D74" s="25" t="str">
        <f t="shared" si="7"/>
        <v>5.85</v>
      </c>
      <c r="E74" s="11">
        <f t="shared" si="8"/>
        <v>1930</v>
      </c>
    </row>
    <row r="75" spans="1:5">
      <c r="A75" s="26">
        <v>45929</v>
      </c>
      <c r="B75" s="27" t="s">
        <v>31</v>
      </c>
      <c r="C75" s="27">
        <v>220.96</v>
      </c>
      <c r="D75" s="25" t="str">
        <f t="shared" si="7"/>
        <v>5.85</v>
      </c>
      <c r="E75" s="11">
        <f t="shared" si="8"/>
        <v>1292</v>
      </c>
    </row>
    <row r="76" spans="1:5">
      <c r="A76" s="26">
        <v>45929</v>
      </c>
      <c r="B76" s="27" t="s">
        <v>35</v>
      </c>
      <c r="C76" s="27">
        <v>200</v>
      </c>
      <c r="D76" s="25" t="str">
        <f t="shared" si="7"/>
        <v>5.85</v>
      </c>
      <c r="E76" s="11">
        <f t="shared" si="8"/>
        <v>1170</v>
      </c>
    </row>
    <row r="77" spans="1:5">
      <c r="A77" s="26">
        <v>45929</v>
      </c>
      <c r="B77" s="27" t="s">
        <v>40</v>
      </c>
      <c r="C77" s="27">
        <v>68.05</v>
      </c>
      <c r="D77" s="25" t="str">
        <f t="shared" si="7"/>
        <v>5.95</v>
      </c>
      <c r="E77" s="11">
        <f t="shared" si="8"/>
        <v>404</v>
      </c>
    </row>
    <row r="78" spans="1:5">
      <c r="A78" s="26">
        <v>45929</v>
      </c>
      <c r="B78" s="27" t="s">
        <v>30</v>
      </c>
      <c r="C78" s="27">
        <v>200</v>
      </c>
      <c r="D78" s="25" t="str">
        <f t="shared" si="7"/>
        <v>5.85</v>
      </c>
      <c r="E78" s="11">
        <f t="shared" si="8"/>
        <v>1170</v>
      </c>
    </row>
    <row r="79" spans="1:5">
      <c r="A79" s="26">
        <v>45929</v>
      </c>
      <c r="B79" s="27" t="s">
        <v>32</v>
      </c>
      <c r="C79" s="27">
        <v>350</v>
      </c>
      <c r="D79" s="25" t="str">
        <f t="shared" si="7"/>
        <v>5.85</v>
      </c>
      <c r="E79" s="11">
        <f t="shared" si="8"/>
        <v>2047</v>
      </c>
    </row>
    <row r="80" spans="1:5">
      <c r="A80" s="26">
        <v>45929</v>
      </c>
      <c r="B80" s="27" t="s">
        <v>29</v>
      </c>
      <c r="C80" s="27">
        <v>200</v>
      </c>
      <c r="D80" s="25" t="str">
        <f t="shared" si="7"/>
        <v>5.85</v>
      </c>
      <c r="E80" s="11">
        <f t="shared" si="8"/>
        <v>1170</v>
      </c>
    </row>
    <row r="81" spans="1:5">
      <c r="A81" s="26">
        <v>45929</v>
      </c>
      <c r="B81" s="27" t="s">
        <v>34</v>
      </c>
      <c r="C81" s="27">
        <v>350</v>
      </c>
      <c r="D81" s="25" t="str">
        <f t="shared" si="7"/>
        <v>5.85</v>
      </c>
      <c r="E81" s="11">
        <f t="shared" si="8"/>
        <v>2047</v>
      </c>
    </row>
    <row r="82" spans="1:5">
      <c r="A82" s="26">
        <v>45929</v>
      </c>
      <c r="B82" s="27" t="s">
        <v>28</v>
      </c>
      <c r="C82" s="27">
        <v>213</v>
      </c>
      <c r="D82" s="25" t="str">
        <f t="shared" si="7"/>
        <v>5.85</v>
      </c>
      <c r="E82" s="11">
        <f t="shared" si="8"/>
        <v>1246</v>
      </c>
    </row>
    <row r="83" spans="1:5">
      <c r="A83" s="26">
        <v>45929</v>
      </c>
      <c r="B83" s="27" t="s">
        <v>33</v>
      </c>
      <c r="C83" s="27">
        <v>839.12</v>
      </c>
      <c r="D83" s="25" t="str">
        <f t="shared" si="7"/>
        <v>5.85</v>
      </c>
      <c r="E83" s="11">
        <f t="shared" si="8"/>
        <v>4908</v>
      </c>
    </row>
    <row r="84" spans="1:5">
      <c r="A84" s="26">
        <v>45929</v>
      </c>
      <c r="B84" s="27" t="s">
        <v>31</v>
      </c>
      <c r="C84" s="27">
        <v>250</v>
      </c>
      <c r="D84" s="25" t="str">
        <f t="shared" si="7"/>
        <v>5.85</v>
      </c>
      <c r="E84" s="11">
        <f t="shared" si="8"/>
        <v>1462</v>
      </c>
    </row>
    <row r="85" spans="1:5">
      <c r="A85" s="26">
        <v>45929</v>
      </c>
      <c r="B85" s="27" t="s">
        <v>30</v>
      </c>
      <c r="C85" s="27">
        <v>340</v>
      </c>
      <c r="D85" s="25" t="str">
        <f t="shared" si="7"/>
        <v>5.85</v>
      </c>
      <c r="E85" s="11">
        <f t="shared" si="8"/>
        <v>1989</v>
      </c>
    </row>
    <row r="86" spans="1:5">
      <c r="A86" s="26">
        <v>45930</v>
      </c>
      <c r="B86" s="27" t="s">
        <v>38</v>
      </c>
      <c r="C86" s="27">
        <v>432.01</v>
      </c>
      <c r="D86" s="25" t="str">
        <f t="shared" si="7"/>
        <v>5.85</v>
      </c>
      <c r="E86" s="11">
        <f t="shared" si="8"/>
        <v>2527</v>
      </c>
    </row>
    <row r="87" spans="1:5">
      <c r="A87" s="26">
        <v>45930</v>
      </c>
      <c r="B87" s="27" t="s">
        <v>29</v>
      </c>
      <c r="C87" s="27">
        <v>254</v>
      </c>
      <c r="D87" s="25" t="str">
        <f t="shared" si="7"/>
        <v>5.85</v>
      </c>
      <c r="E87" s="11">
        <f t="shared" si="8"/>
        <v>1485</v>
      </c>
    </row>
    <row r="88" spans="1:5">
      <c r="A88" s="26">
        <v>45930</v>
      </c>
      <c r="B88" s="27" t="s">
        <v>30</v>
      </c>
      <c r="C88" s="27">
        <v>600</v>
      </c>
      <c r="D88" s="25" t="str">
        <f t="shared" si="7"/>
        <v>5.85</v>
      </c>
      <c r="E88" s="11">
        <f t="shared" si="8"/>
        <v>3510</v>
      </c>
    </row>
    <row r="89" spans="1:5">
      <c r="A89" s="26">
        <v>45930</v>
      </c>
      <c r="B89" s="27" t="s">
        <v>37</v>
      </c>
      <c r="C89" s="27">
        <v>361.99</v>
      </c>
      <c r="D89" s="25" t="str">
        <f t="shared" si="7"/>
        <v>5.85</v>
      </c>
      <c r="E89" s="11">
        <f t="shared" si="8"/>
        <v>2117</v>
      </c>
    </row>
    <row r="90" spans="1:5">
      <c r="A90" s="26">
        <v>45930</v>
      </c>
      <c r="B90" s="27" t="s">
        <v>28</v>
      </c>
      <c r="C90" s="27">
        <v>51.56</v>
      </c>
      <c r="D90" s="25" t="str">
        <f t="shared" si="7"/>
        <v>5.95</v>
      </c>
      <c r="E90" s="11">
        <f t="shared" si="8"/>
        <v>306</v>
      </c>
    </row>
    <row r="91" spans="1:5">
      <c r="A91" s="26">
        <v>45930</v>
      </c>
      <c r="B91" s="27" t="s">
        <v>31</v>
      </c>
      <c r="C91" s="27">
        <v>282</v>
      </c>
      <c r="D91" s="25" t="str">
        <f t="shared" si="7"/>
        <v>5.85</v>
      </c>
      <c r="E91" s="11">
        <f t="shared" si="8"/>
        <v>1649</v>
      </c>
    </row>
    <row r="92" spans="1:5">
      <c r="A92" s="26">
        <v>45930</v>
      </c>
      <c r="B92" s="27" t="s">
        <v>33</v>
      </c>
      <c r="C92" s="27">
        <v>213.89</v>
      </c>
      <c r="D92" s="25" t="str">
        <f t="shared" si="7"/>
        <v>5.85</v>
      </c>
      <c r="E92" s="11">
        <f t="shared" si="8"/>
        <v>1251</v>
      </c>
    </row>
    <row r="93" spans="1:5">
      <c r="A93" s="26">
        <v>45931</v>
      </c>
      <c r="B93" s="27" t="s">
        <v>29</v>
      </c>
      <c r="C93" s="27">
        <v>200</v>
      </c>
      <c r="D93" s="25" t="str">
        <f t="shared" si="7"/>
        <v>5.85</v>
      </c>
      <c r="E93" s="11">
        <f t="shared" si="8"/>
        <v>1170</v>
      </c>
    </row>
    <row r="94" spans="1:5">
      <c r="A94" s="26">
        <v>45931</v>
      </c>
      <c r="B94" s="27" t="s">
        <v>28</v>
      </c>
      <c r="C94" s="27">
        <v>733</v>
      </c>
      <c r="D94" s="25" t="str">
        <f t="shared" si="7"/>
        <v>5.85</v>
      </c>
      <c r="E94" s="11">
        <f t="shared" si="8"/>
        <v>4288</v>
      </c>
    </row>
    <row r="95" spans="1:5">
      <c r="A95" s="26">
        <v>45931</v>
      </c>
      <c r="B95" s="27" t="s">
        <v>34</v>
      </c>
      <c r="C95" s="27">
        <v>468.57</v>
      </c>
      <c r="D95" s="25" t="str">
        <f t="shared" si="7"/>
        <v>5.85</v>
      </c>
      <c r="E95" s="11">
        <f t="shared" si="8"/>
        <v>2741</v>
      </c>
    </row>
    <row r="96" spans="1:5">
      <c r="A96" s="26">
        <v>45931</v>
      </c>
      <c r="B96" s="27" t="s">
        <v>31</v>
      </c>
      <c r="C96" s="27">
        <v>295.86</v>
      </c>
      <c r="D96" s="25" t="str">
        <f t="shared" si="7"/>
        <v>5.85</v>
      </c>
      <c r="E96" s="11">
        <f t="shared" si="8"/>
        <v>1730</v>
      </c>
    </row>
    <row r="97" spans="1:5">
      <c r="A97" s="26">
        <v>45931</v>
      </c>
      <c r="B97" s="27" t="s">
        <v>41</v>
      </c>
      <c r="C97" s="27">
        <v>438.15</v>
      </c>
      <c r="D97" s="25" t="str">
        <f t="shared" si="7"/>
        <v>5.85</v>
      </c>
      <c r="E97" s="11">
        <f t="shared" si="8"/>
        <v>2563</v>
      </c>
    </row>
    <row r="98" spans="1:5">
      <c r="A98" s="26">
        <v>45931</v>
      </c>
      <c r="B98" s="27" t="s">
        <v>30</v>
      </c>
      <c r="C98" s="27">
        <v>400</v>
      </c>
      <c r="D98" s="25" t="str">
        <f t="shared" si="7"/>
        <v>5.85</v>
      </c>
      <c r="E98" s="11">
        <f t="shared" si="8"/>
        <v>2340</v>
      </c>
    </row>
    <row r="99" spans="4:5">
      <c r="D99" s="25"/>
      <c r="E99" s="11">
        <v>0</v>
      </c>
    </row>
    <row r="100" spans="1:5">
      <c r="A100" s="26">
        <v>45932</v>
      </c>
      <c r="B100" s="27" t="s">
        <v>32</v>
      </c>
      <c r="C100" s="27">
        <v>230</v>
      </c>
      <c r="D100" s="25" t="str">
        <f t="shared" ref="D99:D120" si="9">IF(C100&gt;=200,"5.85",IF(C100&lt;200,"5.95"))</f>
        <v>5.85</v>
      </c>
      <c r="E100" s="11">
        <f t="shared" ref="E99:E120" si="10">INT(C100*D100)</f>
        <v>1345</v>
      </c>
    </row>
    <row r="101" spans="1:5">
      <c r="A101" s="26">
        <v>45932</v>
      </c>
      <c r="B101" s="27" t="s">
        <v>31</v>
      </c>
      <c r="C101" s="27">
        <v>150</v>
      </c>
      <c r="D101" s="25" t="str">
        <f t="shared" si="9"/>
        <v>5.95</v>
      </c>
      <c r="E101" s="11">
        <f t="shared" si="10"/>
        <v>892</v>
      </c>
    </row>
    <row r="102" spans="1:5">
      <c r="A102" s="26">
        <v>45932</v>
      </c>
      <c r="B102" s="27" t="s">
        <v>35</v>
      </c>
      <c r="C102" s="27">
        <v>320</v>
      </c>
      <c r="D102" s="25" t="str">
        <f t="shared" si="9"/>
        <v>5.85</v>
      </c>
      <c r="E102" s="11">
        <f t="shared" si="10"/>
        <v>1872</v>
      </c>
    </row>
    <row r="103" spans="1:5">
      <c r="A103" s="26">
        <v>45932</v>
      </c>
      <c r="B103" s="27" t="s">
        <v>30</v>
      </c>
      <c r="C103" s="27">
        <v>340.03</v>
      </c>
      <c r="D103" s="25" t="str">
        <f t="shared" si="9"/>
        <v>5.85</v>
      </c>
      <c r="E103" s="11">
        <f t="shared" si="10"/>
        <v>1989</v>
      </c>
    </row>
    <row r="104" spans="1:5">
      <c r="A104" s="26">
        <v>45932</v>
      </c>
      <c r="B104" s="27" t="s">
        <v>29</v>
      </c>
      <c r="C104" s="27">
        <v>345</v>
      </c>
      <c r="D104" s="25" t="str">
        <f t="shared" si="9"/>
        <v>5.85</v>
      </c>
      <c r="E104" s="11">
        <f t="shared" si="10"/>
        <v>2018</v>
      </c>
    </row>
    <row r="105" spans="1:5">
      <c r="A105" s="26">
        <v>45932</v>
      </c>
      <c r="B105" s="27" t="s">
        <v>36</v>
      </c>
      <c r="C105" s="27">
        <v>350</v>
      </c>
      <c r="D105" s="25" t="str">
        <f t="shared" si="9"/>
        <v>5.85</v>
      </c>
      <c r="E105" s="11">
        <f t="shared" si="10"/>
        <v>2047</v>
      </c>
    </row>
    <row r="106" spans="1:5">
      <c r="A106" s="26">
        <v>45932</v>
      </c>
      <c r="B106" s="27" t="s">
        <v>28</v>
      </c>
      <c r="C106" s="27">
        <v>200</v>
      </c>
      <c r="D106" s="25" t="str">
        <f t="shared" si="9"/>
        <v>5.85</v>
      </c>
      <c r="E106" s="11">
        <f t="shared" si="10"/>
        <v>1170</v>
      </c>
    </row>
    <row r="107" spans="1:5">
      <c r="A107" s="26">
        <v>45932</v>
      </c>
      <c r="B107" s="27" t="s">
        <v>31</v>
      </c>
      <c r="C107" s="27">
        <v>215</v>
      </c>
      <c r="D107" s="25" t="str">
        <f t="shared" si="9"/>
        <v>5.85</v>
      </c>
      <c r="E107" s="11">
        <f t="shared" si="10"/>
        <v>1257</v>
      </c>
    </row>
    <row r="108" spans="1:5">
      <c r="A108" s="26">
        <v>45932</v>
      </c>
      <c r="B108" s="27" t="s">
        <v>30</v>
      </c>
      <c r="C108" s="27">
        <v>410</v>
      </c>
      <c r="D108" s="25" t="str">
        <f t="shared" si="9"/>
        <v>5.85</v>
      </c>
      <c r="E108" s="11">
        <f t="shared" si="10"/>
        <v>2398</v>
      </c>
    </row>
    <row r="109" spans="1:5">
      <c r="A109" s="26">
        <v>45933</v>
      </c>
      <c r="B109" s="27" t="s">
        <v>28</v>
      </c>
      <c r="C109" s="27">
        <v>357</v>
      </c>
      <c r="D109" s="25" t="str">
        <f t="shared" si="9"/>
        <v>5.85</v>
      </c>
      <c r="E109" s="11">
        <f t="shared" si="10"/>
        <v>2088</v>
      </c>
    </row>
    <row r="110" spans="1:5">
      <c r="A110" s="26">
        <v>45933</v>
      </c>
      <c r="B110" s="27" t="s">
        <v>31</v>
      </c>
      <c r="C110" s="27">
        <v>284.4</v>
      </c>
      <c r="D110" s="25" t="str">
        <f t="shared" si="9"/>
        <v>5.85</v>
      </c>
      <c r="E110" s="11">
        <f t="shared" si="10"/>
        <v>1663</v>
      </c>
    </row>
    <row r="111" spans="1:5">
      <c r="A111" s="26">
        <v>45933</v>
      </c>
      <c r="B111" s="27" t="s">
        <v>30</v>
      </c>
      <c r="C111" s="27">
        <v>220</v>
      </c>
      <c r="D111" s="25" t="str">
        <f t="shared" si="9"/>
        <v>5.85</v>
      </c>
      <c r="E111" s="11">
        <f t="shared" si="10"/>
        <v>1287</v>
      </c>
    </row>
    <row r="112" spans="1:5">
      <c r="A112" s="26">
        <v>45933</v>
      </c>
      <c r="B112" s="27" t="s">
        <v>39</v>
      </c>
      <c r="C112" s="27">
        <v>210.07</v>
      </c>
      <c r="D112" s="25" t="str">
        <f t="shared" si="9"/>
        <v>5.85</v>
      </c>
      <c r="E112" s="11">
        <f t="shared" si="10"/>
        <v>1228</v>
      </c>
    </row>
    <row r="113" spans="1:5">
      <c r="A113" s="26">
        <v>45933</v>
      </c>
      <c r="B113" s="27" t="s">
        <v>26</v>
      </c>
      <c r="C113" s="27">
        <v>318.01</v>
      </c>
      <c r="D113" s="25" t="str">
        <f t="shared" si="9"/>
        <v>5.85</v>
      </c>
      <c r="E113" s="11">
        <f t="shared" si="10"/>
        <v>1860</v>
      </c>
    </row>
    <row r="114" spans="1:5">
      <c r="A114" s="26">
        <v>45933</v>
      </c>
      <c r="B114" s="27" t="s">
        <v>27</v>
      </c>
      <c r="C114" s="27">
        <v>620</v>
      </c>
      <c r="D114" s="25" t="str">
        <f t="shared" si="9"/>
        <v>5.85</v>
      </c>
      <c r="E114" s="11">
        <f t="shared" si="10"/>
        <v>3627</v>
      </c>
    </row>
    <row r="115" spans="1:5">
      <c r="A115" s="26">
        <v>45934</v>
      </c>
      <c r="B115" s="27" t="s">
        <v>37</v>
      </c>
      <c r="C115" s="27">
        <v>211.78</v>
      </c>
      <c r="D115" s="25" t="str">
        <f t="shared" si="9"/>
        <v>5.85</v>
      </c>
      <c r="E115" s="11">
        <f t="shared" si="10"/>
        <v>1238</v>
      </c>
    </row>
    <row r="116" spans="1:5">
      <c r="A116" s="26">
        <v>45934</v>
      </c>
      <c r="B116" s="27" t="s">
        <v>30</v>
      </c>
      <c r="C116" s="27">
        <v>400</v>
      </c>
      <c r="D116" s="25" t="str">
        <f t="shared" si="9"/>
        <v>5.85</v>
      </c>
      <c r="E116" s="11">
        <f t="shared" si="10"/>
        <v>2340</v>
      </c>
    </row>
    <row r="117" spans="1:5">
      <c r="A117" s="26">
        <v>45934</v>
      </c>
      <c r="B117" s="27" t="s">
        <v>33</v>
      </c>
      <c r="C117" s="27">
        <v>260</v>
      </c>
      <c r="D117" s="25" t="str">
        <f t="shared" si="9"/>
        <v>5.85</v>
      </c>
      <c r="E117" s="11">
        <f t="shared" si="10"/>
        <v>1521</v>
      </c>
    </row>
    <row r="118" spans="1:5">
      <c r="A118" s="26">
        <v>45934</v>
      </c>
      <c r="B118" s="27" t="s">
        <v>31</v>
      </c>
      <c r="C118" s="27">
        <v>219.04</v>
      </c>
      <c r="D118" s="25" t="str">
        <f t="shared" si="9"/>
        <v>5.85</v>
      </c>
      <c r="E118" s="11">
        <f t="shared" si="10"/>
        <v>1281</v>
      </c>
    </row>
    <row r="119" spans="1:5">
      <c r="A119" s="26">
        <v>45934</v>
      </c>
      <c r="B119" s="27" t="s">
        <v>28</v>
      </c>
      <c r="C119" s="27">
        <v>360</v>
      </c>
      <c r="D119" s="25" t="str">
        <f t="shared" si="9"/>
        <v>5.85</v>
      </c>
      <c r="E119" s="11">
        <f t="shared" si="10"/>
        <v>2106</v>
      </c>
    </row>
    <row r="120" spans="1:5">
      <c r="A120" s="26">
        <v>45934</v>
      </c>
      <c r="B120" s="27" t="s">
        <v>29</v>
      </c>
      <c r="C120" s="27">
        <v>570</v>
      </c>
      <c r="D120" s="25" t="str">
        <f t="shared" si="9"/>
        <v>5.85</v>
      </c>
      <c r="E120" s="11">
        <f t="shared" si="10"/>
        <v>3334</v>
      </c>
    </row>
    <row r="121" spans="4:6">
      <c r="D121" s="25"/>
      <c r="E121" s="11">
        <v>0</v>
      </c>
      <c r="F121">
        <f>SUM(E100:E120)</f>
        <v>38561</v>
      </c>
    </row>
    <row r="122" spans="1:5">
      <c r="A122" s="26">
        <v>45935</v>
      </c>
      <c r="B122" s="27" t="s">
        <v>27</v>
      </c>
      <c r="C122" s="27">
        <v>512.82</v>
      </c>
      <c r="D122" s="25" t="str">
        <f>IF(C122&gt;=200,"5.85",IF(C122&lt;200,"5.95"))</f>
        <v>5.85</v>
      </c>
      <c r="E122" s="11">
        <f t="shared" ref="E121:E156" si="11">INT(C122*D122)</f>
        <v>2999</v>
      </c>
    </row>
    <row r="123" spans="1:5">
      <c r="A123" s="26">
        <v>45935</v>
      </c>
      <c r="B123" s="27" t="s">
        <v>32</v>
      </c>
      <c r="C123" s="27">
        <v>255</v>
      </c>
      <c r="D123" s="25" t="str">
        <f t="shared" ref="D123:D156" si="12">IF(C123&gt;=200,"5.85",IF(C123&lt;200,"5.95"))</f>
        <v>5.85</v>
      </c>
      <c r="E123" s="11">
        <f t="shared" si="11"/>
        <v>1491</v>
      </c>
    </row>
    <row r="124" spans="1:5">
      <c r="A124" s="26">
        <v>45935</v>
      </c>
      <c r="B124" s="27" t="s">
        <v>35</v>
      </c>
      <c r="C124" s="27">
        <v>400</v>
      </c>
      <c r="D124" s="25" t="str">
        <f t="shared" si="12"/>
        <v>5.85</v>
      </c>
      <c r="E124" s="11">
        <f t="shared" si="11"/>
        <v>2340</v>
      </c>
    </row>
    <row r="125" spans="1:5">
      <c r="A125" s="26">
        <v>45935</v>
      </c>
      <c r="B125" s="27" t="s">
        <v>29</v>
      </c>
      <c r="C125" s="27">
        <v>200</v>
      </c>
      <c r="D125" s="25" t="str">
        <f t="shared" si="12"/>
        <v>5.85</v>
      </c>
      <c r="E125" s="11">
        <f t="shared" si="11"/>
        <v>1170</v>
      </c>
    </row>
    <row r="126" spans="1:5">
      <c r="A126" s="26">
        <v>45935</v>
      </c>
      <c r="B126" s="27" t="s">
        <v>28</v>
      </c>
      <c r="C126" s="27">
        <v>205</v>
      </c>
      <c r="D126" s="25" t="str">
        <f t="shared" si="12"/>
        <v>5.85</v>
      </c>
      <c r="E126" s="11">
        <f t="shared" si="11"/>
        <v>1199</v>
      </c>
    </row>
    <row r="127" spans="1:5">
      <c r="A127" s="26">
        <v>45935</v>
      </c>
      <c r="B127" s="27" t="s">
        <v>31</v>
      </c>
      <c r="C127" s="27">
        <v>46.82</v>
      </c>
      <c r="D127" s="25" t="str">
        <f t="shared" si="12"/>
        <v>5.95</v>
      </c>
      <c r="E127" s="11">
        <f t="shared" si="11"/>
        <v>278</v>
      </c>
    </row>
    <row r="128" spans="1:5">
      <c r="A128" s="26">
        <v>45935</v>
      </c>
      <c r="B128" s="27" t="s">
        <v>36</v>
      </c>
      <c r="C128" s="27">
        <v>173.01</v>
      </c>
      <c r="D128" s="25" t="str">
        <f t="shared" si="12"/>
        <v>5.95</v>
      </c>
      <c r="E128" s="11">
        <f t="shared" si="11"/>
        <v>1029</v>
      </c>
    </row>
    <row r="129" spans="1:5">
      <c r="A129" s="26">
        <v>45935</v>
      </c>
      <c r="B129" s="27" t="s">
        <v>30</v>
      </c>
      <c r="C129" s="27">
        <v>300</v>
      </c>
      <c r="D129" s="25" t="str">
        <f t="shared" si="12"/>
        <v>5.85</v>
      </c>
      <c r="E129" s="11">
        <f t="shared" si="11"/>
        <v>1755</v>
      </c>
    </row>
    <row r="130" spans="1:5">
      <c r="A130" s="26">
        <v>45935</v>
      </c>
      <c r="B130" s="27" t="s">
        <v>34</v>
      </c>
      <c r="C130" s="27">
        <v>350</v>
      </c>
      <c r="D130" s="25" t="str">
        <f t="shared" si="12"/>
        <v>5.85</v>
      </c>
      <c r="E130" s="11">
        <f t="shared" si="11"/>
        <v>2047</v>
      </c>
    </row>
    <row r="131" spans="1:5">
      <c r="A131" s="26">
        <v>45935</v>
      </c>
      <c r="B131" s="27" t="s">
        <v>38</v>
      </c>
      <c r="C131" s="27">
        <v>351</v>
      </c>
      <c r="D131" s="25" t="str">
        <f t="shared" si="12"/>
        <v>5.85</v>
      </c>
      <c r="E131" s="11">
        <f t="shared" si="11"/>
        <v>2053</v>
      </c>
    </row>
    <row r="132" spans="1:5">
      <c r="A132" s="26">
        <v>45936</v>
      </c>
      <c r="B132" s="27" t="s">
        <v>26</v>
      </c>
      <c r="C132" s="27">
        <v>320.01</v>
      </c>
      <c r="D132" s="25" t="str">
        <f t="shared" si="12"/>
        <v>5.85</v>
      </c>
      <c r="E132" s="11">
        <f t="shared" si="11"/>
        <v>1872</v>
      </c>
    </row>
    <row r="133" spans="1:5">
      <c r="A133" s="26">
        <v>45936</v>
      </c>
      <c r="B133" s="27" t="s">
        <v>28</v>
      </c>
      <c r="C133" s="27">
        <v>400</v>
      </c>
      <c r="D133" s="25" t="str">
        <f t="shared" si="12"/>
        <v>5.85</v>
      </c>
      <c r="E133" s="11">
        <f t="shared" si="11"/>
        <v>2340</v>
      </c>
    </row>
    <row r="134" spans="1:5">
      <c r="A134" s="26">
        <v>45936</v>
      </c>
      <c r="B134" s="27" t="s">
        <v>31</v>
      </c>
      <c r="C134" s="27">
        <v>147.93</v>
      </c>
      <c r="D134" s="25" t="str">
        <f t="shared" si="12"/>
        <v>5.95</v>
      </c>
      <c r="E134" s="11">
        <f t="shared" si="11"/>
        <v>880</v>
      </c>
    </row>
    <row r="135" spans="1:5">
      <c r="A135" s="26">
        <v>45936</v>
      </c>
      <c r="B135" s="27" t="s">
        <v>30</v>
      </c>
      <c r="C135" s="27">
        <v>400</v>
      </c>
      <c r="D135" s="25" t="str">
        <f t="shared" si="12"/>
        <v>5.85</v>
      </c>
      <c r="E135" s="11">
        <f t="shared" si="11"/>
        <v>2340</v>
      </c>
    </row>
    <row r="136" spans="1:5">
      <c r="A136" s="26">
        <v>45937</v>
      </c>
      <c r="B136" s="27" t="s">
        <v>36</v>
      </c>
      <c r="C136" s="27">
        <v>300</v>
      </c>
      <c r="D136" s="25" t="str">
        <f t="shared" si="12"/>
        <v>5.85</v>
      </c>
      <c r="E136" s="11">
        <f t="shared" si="11"/>
        <v>1755</v>
      </c>
    </row>
    <row r="137" spans="1:5">
      <c r="A137" s="26">
        <v>45937</v>
      </c>
      <c r="B137" s="27" t="s">
        <v>30</v>
      </c>
      <c r="C137" s="27">
        <v>300</v>
      </c>
      <c r="D137" s="25" t="str">
        <f t="shared" si="12"/>
        <v>5.85</v>
      </c>
      <c r="E137" s="11">
        <f t="shared" si="11"/>
        <v>1755</v>
      </c>
    </row>
    <row r="138" spans="1:5">
      <c r="A138" s="26">
        <v>45937</v>
      </c>
      <c r="B138" s="27" t="s">
        <v>34</v>
      </c>
      <c r="C138" s="27">
        <v>313</v>
      </c>
      <c r="D138" s="25" t="str">
        <f t="shared" si="12"/>
        <v>5.85</v>
      </c>
      <c r="E138" s="11">
        <f t="shared" si="11"/>
        <v>1831</v>
      </c>
    </row>
    <row r="139" spans="1:5">
      <c r="A139" s="26">
        <v>45937</v>
      </c>
      <c r="B139" s="27" t="s">
        <v>38</v>
      </c>
      <c r="C139" s="27">
        <v>280</v>
      </c>
      <c r="D139" s="25" t="str">
        <f t="shared" si="12"/>
        <v>5.85</v>
      </c>
      <c r="E139" s="11">
        <f t="shared" si="11"/>
        <v>1638</v>
      </c>
    </row>
    <row r="140" spans="1:5">
      <c r="A140" s="26">
        <v>45937</v>
      </c>
      <c r="B140" s="27" t="s">
        <v>37</v>
      </c>
      <c r="C140" s="27">
        <v>319</v>
      </c>
      <c r="D140" s="25" t="str">
        <f t="shared" si="12"/>
        <v>5.85</v>
      </c>
      <c r="E140" s="11">
        <f t="shared" si="11"/>
        <v>1866</v>
      </c>
    </row>
    <row r="141" spans="1:5">
      <c r="A141" s="26">
        <v>45937</v>
      </c>
      <c r="B141" s="27" t="s">
        <v>40</v>
      </c>
      <c r="C141" s="27">
        <v>66.19</v>
      </c>
      <c r="D141" s="25" t="str">
        <f t="shared" si="12"/>
        <v>5.95</v>
      </c>
      <c r="E141" s="11">
        <f t="shared" si="11"/>
        <v>393</v>
      </c>
    </row>
    <row r="142" spans="1:5">
      <c r="A142" s="26">
        <v>45937</v>
      </c>
      <c r="B142" s="27" t="s">
        <v>29</v>
      </c>
      <c r="C142" s="27">
        <v>200</v>
      </c>
      <c r="D142" s="25" t="str">
        <f t="shared" si="12"/>
        <v>5.85</v>
      </c>
      <c r="E142" s="11">
        <f t="shared" si="11"/>
        <v>1170</v>
      </c>
    </row>
    <row r="143" spans="1:5">
      <c r="A143" s="26">
        <v>45937</v>
      </c>
      <c r="B143" s="27" t="s">
        <v>33</v>
      </c>
      <c r="C143" s="27">
        <v>318.04</v>
      </c>
      <c r="D143" s="25" t="str">
        <f t="shared" si="12"/>
        <v>5.85</v>
      </c>
      <c r="E143" s="11">
        <f t="shared" si="11"/>
        <v>1860</v>
      </c>
    </row>
    <row r="144" spans="1:5">
      <c r="A144" s="26">
        <v>45937</v>
      </c>
      <c r="B144" s="27" t="s">
        <v>28</v>
      </c>
      <c r="C144" s="27">
        <v>346</v>
      </c>
      <c r="D144" s="25" t="str">
        <f t="shared" si="12"/>
        <v>5.85</v>
      </c>
      <c r="E144" s="11">
        <f t="shared" si="11"/>
        <v>2024</v>
      </c>
    </row>
    <row r="145" spans="1:5">
      <c r="A145" s="26">
        <v>45937</v>
      </c>
      <c r="B145" s="27" t="s">
        <v>31</v>
      </c>
      <c r="C145" s="27">
        <v>341.82</v>
      </c>
      <c r="D145" s="25" t="str">
        <f t="shared" si="12"/>
        <v>5.85</v>
      </c>
      <c r="E145" s="11">
        <f t="shared" si="11"/>
        <v>1999</v>
      </c>
    </row>
    <row r="146" spans="1:5">
      <c r="A146" s="26">
        <v>45937</v>
      </c>
      <c r="B146" s="27" t="s">
        <v>30</v>
      </c>
      <c r="C146" s="27">
        <v>340</v>
      </c>
      <c r="D146" s="25" t="str">
        <f t="shared" si="12"/>
        <v>5.85</v>
      </c>
      <c r="E146" s="11">
        <f t="shared" si="11"/>
        <v>1989</v>
      </c>
    </row>
    <row r="147" spans="1:5">
      <c r="A147" s="26">
        <v>45937</v>
      </c>
      <c r="B147" s="27" t="s">
        <v>39</v>
      </c>
      <c r="C147" s="27">
        <v>330.01</v>
      </c>
      <c r="D147" s="25" t="str">
        <f t="shared" si="12"/>
        <v>5.85</v>
      </c>
      <c r="E147" s="11">
        <f t="shared" si="11"/>
        <v>1930</v>
      </c>
    </row>
    <row r="148" spans="1:5">
      <c r="A148" s="26">
        <v>45938</v>
      </c>
      <c r="B148" s="27" t="s">
        <v>32</v>
      </c>
      <c r="C148" s="27">
        <v>270</v>
      </c>
      <c r="D148" s="25" t="str">
        <f t="shared" si="12"/>
        <v>5.85</v>
      </c>
      <c r="E148" s="11">
        <f t="shared" si="11"/>
        <v>1579</v>
      </c>
    </row>
    <row r="149" spans="1:5">
      <c r="A149" s="26">
        <v>45938</v>
      </c>
      <c r="B149" s="27" t="s">
        <v>31</v>
      </c>
      <c r="C149" s="27">
        <v>200</v>
      </c>
      <c r="D149" s="25" t="str">
        <f t="shared" si="12"/>
        <v>5.85</v>
      </c>
      <c r="E149" s="11">
        <f t="shared" si="11"/>
        <v>1170</v>
      </c>
    </row>
    <row r="150" spans="1:5">
      <c r="A150" s="26">
        <v>45938</v>
      </c>
      <c r="B150" s="27" t="s">
        <v>28</v>
      </c>
      <c r="C150" s="27">
        <v>216.7</v>
      </c>
      <c r="D150" s="25" t="str">
        <f t="shared" si="12"/>
        <v>5.85</v>
      </c>
      <c r="E150" s="11">
        <f t="shared" si="11"/>
        <v>1267</v>
      </c>
    </row>
    <row r="151" spans="1:5">
      <c r="A151" s="26">
        <v>45938</v>
      </c>
      <c r="B151" s="27" t="s">
        <v>29</v>
      </c>
      <c r="C151" s="27">
        <v>250</v>
      </c>
      <c r="D151" s="25" t="str">
        <f t="shared" si="12"/>
        <v>5.85</v>
      </c>
      <c r="E151" s="11">
        <f t="shared" si="11"/>
        <v>1462</v>
      </c>
    </row>
    <row r="152" spans="1:5">
      <c r="A152" s="26">
        <v>45938</v>
      </c>
      <c r="B152" s="27" t="s">
        <v>35</v>
      </c>
      <c r="C152" s="27">
        <v>244</v>
      </c>
      <c r="D152" s="25" t="str">
        <f t="shared" si="12"/>
        <v>5.85</v>
      </c>
      <c r="E152" s="11">
        <f t="shared" si="11"/>
        <v>1427</v>
      </c>
    </row>
    <row r="153" spans="1:5">
      <c r="A153" s="26">
        <v>45938</v>
      </c>
      <c r="B153" s="27" t="s">
        <v>30</v>
      </c>
      <c r="C153" s="27">
        <v>400</v>
      </c>
      <c r="D153" s="25" t="str">
        <f t="shared" si="12"/>
        <v>5.85</v>
      </c>
      <c r="E153" s="11">
        <f t="shared" si="11"/>
        <v>2340</v>
      </c>
    </row>
    <row r="154" spans="1:5">
      <c r="A154" s="26">
        <v>45938</v>
      </c>
      <c r="B154" s="27" t="s">
        <v>31</v>
      </c>
      <c r="C154" s="27">
        <v>215</v>
      </c>
      <c r="D154" s="25" t="str">
        <f t="shared" si="12"/>
        <v>5.85</v>
      </c>
      <c r="E154" s="11">
        <f t="shared" si="11"/>
        <v>1257</v>
      </c>
    </row>
    <row r="155" spans="1:5">
      <c r="A155" s="26">
        <v>45938</v>
      </c>
      <c r="B155" s="27" t="s">
        <v>28</v>
      </c>
      <c r="C155" s="27">
        <v>268.79</v>
      </c>
      <c r="D155" s="25" t="str">
        <f t="shared" si="12"/>
        <v>5.85</v>
      </c>
      <c r="E155" s="11">
        <f t="shared" si="11"/>
        <v>1572</v>
      </c>
    </row>
    <row r="156" spans="1:5">
      <c r="A156" s="26">
        <v>45938</v>
      </c>
      <c r="B156" s="27" t="s">
        <v>29</v>
      </c>
      <c r="C156" s="27">
        <v>276.04</v>
      </c>
      <c r="D156" s="25" t="str">
        <f t="shared" si="12"/>
        <v>5.85</v>
      </c>
      <c r="E156" s="11">
        <f t="shared" si="11"/>
        <v>1614</v>
      </c>
    </row>
    <row r="157" spans="4:6">
      <c r="D157" s="25"/>
      <c r="E157" s="11">
        <v>0</v>
      </c>
      <c r="F157">
        <f>SUM(E122:E156)</f>
        <v>57691</v>
      </c>
    </row>
    <row r="158" spans="1:5">
      <c r="A158" s="26">
        <v>45939</v>
      </c>
      <c r="B158" s="27" t="s">
        <v>26</v>
      </c>
      <c r="C158" s="27">
        <v>560.01</v>
      </c>
      <c r="D158" s="25" t="str">
        <f t="shared" ref="D157:D168" si="13">IF(C158&gt;=200,"5.85",IF(C158&lt;200,"5.95"))</f>
        <v>5.85</v>
      </c>
      <c r="E158" s="11">
        <f t="shared" ref="E157:E170" si="14">INT(C158*D158)</f>
        <v>3276</v>
      </c>
    </row>
    <row r="159" spans="1:5">
      <c r="A159" s="26">
        <v>45939</v>
      </c>
      <c r="B159" s="27" t="s">
        <v>27</v>
      </c>
      <c r="C159" s="27">
        <v>457</v>
      </c>
      <c r="D159" s="25" t="str">
        <f t="shared" si="13"/>
        <v>5.85</v>
      </c>
      <c r="E159" s="11">
        <f t="shared" si="14"/>
        <v>2673</v>
      </c>
    </row>
    <row r="160" spans="1:5">
      <c r="A160" s="26">
        <v>45939</v>
      </c>
      <c r="B160" s="27" t="s">
        <v>29</v>
      </c>
      <c r="C160" s="27">
        <v>400</v>
      </c>
      <c r="D160" s="25" t="str">
        <f t="shared" si="13"/>
        <v>5.85</v>
      </c>
      <c r="E160" s="11">
        <f t="shared" si="14"/>
        <v>2340</v>
      </c>
    </row>
    <row r="161" spans="1:5">
      <c r="A161" s="26">
        <v>45940</v>
      </c>
      <c r="B161" s="27" t="s">
        <v>29</v>
      </c>
      <c r="C161" s="27">
        <v>200</v>
      </c>
      <c r="D161" s="25" t="str">
        <f t="shared" si="13"/>
        <v>5.85</v>
      </c>
      <c r="E161" s="11">
        <f t="shared" si="14"/>
        <v>1170</v>
      </c>
    </row>
    <row r="162" spans="1:5">
      <c r="A162" s="26">
        <v>45940</v>
      </c>
      <c r="B162" s="27" t="s">
        <v>31</v>
      </c>
      <c r="C162" s="27">
        <v>300</v>
      </c>
      <c r="D162" s="25" t="str">
        <f t="shared" si="13"/>
        <v>5.85</v>
      </c>
      <c r="E162" s="11">
        <f t="shared" si="14"/>
        <v>1755</v>
      </c>
    </row>
    <row r="163" spans="1:5">
      <c r="A163" s="26">
        <v>45940</v>
      </c>
      <c r="B163" s="27" t="s">
        <v>28</v>
      </c>
      <c r="C163" s="27">
        <v>190.79</v>
      </c>
      <c r="D163" s="25" t="str">
        <f t="shared" si="13"/>
        <v>5.95</v>
      </c>
      <c r="E163" s="11">
        <f t="shared" si="14"/>
        <v>1135</v>
      </c>
    </row>
    <row r="164" spans="1:5">
      <c r="A164" s="26">
        <v>45940</v>
      </c>
      <c r="B164" s="27" t="s">
        <v>29</v>
      </c>
      <c r="C164" s="27">
        <v>109.77</v>
      </c>
      <c r="D164" s="25" t="str">
        <f t="shared" si="13"/>
        <v>5.95</v>
      </c>
      <c r="E164" s="11">
        <f t="shared" si="14"/>
        <v>653</v>
      </c>
    </row>
    <row r="165" spans="1:5">
      <c r="A165" s="26">
        <v>45940</v>
      </c>
      <c r="B165" s="27" t="s">
        <v>28</v>
      </c>
      <c r="C165" s="27">
        <v>350</v>
      </c>
      <c r="D165" s="25" t="str">
        <f t="shared" si="13"/>
        <v>5.85</v>
      </c>
      <c r="E165" s="11">
        <f t="shared" si="14"/>
        <v>2047</v>
      </c>
    </row>
    <row r="166" spans="1:5">
      <c r="A166" s="26">
        <v>45940</v>
      </c>
      <c r="B166" s="27" t="s">
        <v>31</v>
      </c>
      <c r="C166" s="27">
        <v>300</v>
      </c>
      <c r="D166" s="25" t="str">
        <f t="shared" si="13"/>
        <v>5.85</v>
      </c>
      <c r="E166" s="11">
        <f t="shared" si="14"/>
        <v>1755</v>
      </c>
    </row>
    <row r="167" spans="1:5">
      <c r="A167" s="26">
        <v>45940</v>
      </c>
      <c r="B167" s="27" t="s">
        <v>39</v>
      </c>
      <c r="C167" s="27">
        <v>400</v>
      </c>
      <c r="D167" s="25" t="str">
        <f t="shared" si="13"/>
        <v>5.85</v>
      </c>
      <c r="E167" s="11">
        <f t="shared" si="14"/>
        <v>2340</v>
      </c>
    </row>
    <row r="168" spans="1:5">
      <c r="A168" s="26">
        <v>45940</v>
      </c>
      <c r="B168" s="27" t="s">
        <v>30</v>
      </c>
      <c r="C168" s="27">
        <v>150</v>
      </c>
      <c r="D168" s="25" t="str">
        <f t="shared" si="13"/>
        <v>5.95</v>
      </c>
      <c r="E168" s="11">
        <f t="shared" si="14"/>
        <v>892</v>
      </c>
    </row>
    <row r="169" spans="4:6">
      <c r="D169" s="25"/>
      <c r="E169" s="11">
        <f t="shared" si="14"/>
        <v>0</v>
      </c>
      <c r="F169">
        <f>SUM(E158:E168)</f>
        <v>20036</v>
      </c>
    </row>
    <row r="170" spans="1:5">
      <c r="A170" s="26">
        <v>45941</v>
      </c>
      <c r="B170" s="27" t="s">
        <v>28</v>
      </c>
      <c r="C170" s="27">
        <v>200</v>
      </c>
      <c r="D170" s="25" t="str">
        <f>IF(C170&gt;=200,"5.75",IF(C170&lt;200,"5.95"))</f>
        <v>5.75</v>
      </c>
      <c r="E170" s="11">
        <f t="shared" si="14"/>
        <v>1150</v>
      </c>
    </row>
    <row r="171" spans="1:5">
      <c r="A171" s="26">
        <v>45941</v>
      </c>
      <c r="B171" s="27" t="s">
        <v>29</v>
      </c>
      <c r="C171" s="27">
        <v>200</v>
      </c>
      <c r="D171" s="25" t="str">
        <f t="shared" ref="D171:D185" si="15">IF(C171&gt;=200,"5.75",IF(C171&lt;200,"5.95"))</f>
        <v>5.75</v>
      </c>
      <c r="E171" s="11">
        <f t="shared" ref="E171:E185" si="16">INT(C171*D171)</f>
        <v>1150</v>
      </c>
    </row>
    <row r="172" spans="1:5">
      <c r="A172" s="26">
        <v>45941</v>
      </c>
      <c r="B172" s="27" t="s">
        <v>28</v>
      </c>
      <c r="C172" s="27">
        <v>208</v>
      </c>
      <c r="D172" s="25" t="str">
        <f t="shared" si="15"/>
        <v>5.75</v>
      </c>
      <c r="E172" s="11">
        <f t="shared" si="16"/>
        <v>1196</v>
      </c>
    </row>
    <row r="173" spans="1:5">
      <c r="A173" s="26">
        <v>45941</v>
      </c>
      <c r="B173" s="27" t="s">
        <v>31</v>
      </c>
      <c r="C173" s="27">
        <v>400</v>
      </c>
      <c r="D173" s="25" t="str">
        <f t="shared" si="15"/>
        <v>5.75</v>
      </c>
      <c r="E173" s="11">
        <f t="shared" si="16"/>
        <v>2300</v>
      </c>
    </row>
    <row r="174" spans="1:5">
      <c r="A174" s="26">
        <v>45941</v>
      </c>
      <c r="B174" s="27" t="s">
        <v>29</v>
      </c>
      <c r="C174" s="27">
        <v>400</v>
      </c>
      <c r="D174" s="25" t="str">
        <f t="shared" si="15"/>
        <v>5.75</v>
      </c>
      <c r="E174" s="11">
        <f t="shared" si="16"/>
        <v>2300</v>
      </c>
    </row>
    <row r="175" spans="1:5">
      <c r="A175" s="26">
        <v>45942</v>
      </c>
      <c r="B175" s="27" t="s">
        <v>28</v>
      </c>
      <c r="C175" s="27">
        <v>200</v>
      </c>
      <c r="D175" s="25" t="str">
        <f t="shared" si="15"/>
        <v>5.75</v>
      </c>
      <c r="E175" s="11">
        <f t="shared" si="16"/>
        <v>1150</v>
      </c>
    </row>
    <row r="176" spans="1:5">
      <c r="A176" s="26">
        <v>45942</v>
      </c>
      <c r="B176" s="27" t="s">
        <v>29</v>
      </c>
      <c r="C176" s="27">
        <v>200</v>
      </c>
      <c r="D176" s="25" t="str">
        <f t="shared" si="15"/>
        <v>5.75</v>
      </c>
      <c r="E176" s="11">
        <f t="shared" si="16"/>
        <v>1150</v>
      </c>
    </row>
    <row r="177" spans="1:5">
      <c r="A177" s="26">
        <v>45942</v>
      </c>
      <c r="B177" s="27" t="s">
        <v>41</v>
      </c>
      <c r="C177" s="27">
        <v>537.51</v>
      </c>
      <c r="D177" s="25" t="str">
        <f t="shared" si="15"/>
        <v>5.75</v>
      </c>
      <c r="E177" s="11">
        <f t="shared" si="16"/>
        <v>3090</v>
      </c>
    </row>
    <row r="178" spans="1:5">
      <c r="A178" s="26">
        <v>45942</v>
      </c>
      <c r="B178" s="27" t="s">
        <v>31</v>
      </c>
      <c r="C178" s="27">
        <v>240</v>
      </c>
      <c r="D178" s="25" t="str">
        <f t="shared" si="15"/>
        <v>5.75</v>
      </c>
      <c r="E178" s="11">
        <f t="shared" si="16"/>
        <v>1380</v>
      </c>
    </row>
    <row r="179" spans="1:5">
      <c r="A179" s="26">
        <v>45942</v>
      </c>
      <c r="B179" s="27" t="s">
        <v>28</v>
      </c>
      <c r="C179" s="27">
        <v>268</v>
      </c>
      <c r="D179" s="25" t="str">
        <f t="shared" si="15"/>
        <v>5.75</v>
      </c>
      <c r="E179" s="11">
        <f t="shared" si="16"/>
        <v>1541</v>
      </c>
    </row>
    <row r="180" spans="1:5">
      <c r="A180" s="26">
        <v>45942</v>
      </c>
      <c r="B180" s="27" t="s">
        <v>29</v>
      </c>
      <c r="C180" s="27">
        <v>400</v>
      </c>
      <c r="D180" s="25" t="str">
        <f t="shared" si="15"/>
        <v>5.75</v>
      </c>
      <c r="E180" s="11">
        <f t="shared" si="16"/>
        <v>2300</v>
      </c>
    </row>
    <row r="181" spans="1:5">
      <c r="A181" s="26">
        <v>45943</v>
      </c>
      <c r="B181" s="27" t="s">
        <v>28</v>
      </c>
      <c r="C181" s="27">
        <v>400</v>
      </c>
      <c r="D181" s="25" t="str">
        <f t="shared" si="15"/>
        <v>5.75</v>
      </c>
      <c r="E181" s="11">
        <f t="shared" si="16"/>
        <v>2300</v>
      </c>
    </row>
    <row r="182" spans="1:5">
      <c r="A182" s="26">
        <v>45943</v>
      </c>
      <c r="B182" s="27" t="s">
        <v>29</v>
      </c>
      <c r="C182" s="27">
        <v>200</v>
      </c>
      <c r="D182" s="25" t="str">
        <f t="shared" si="15"/>
        <v>5.75</v>
      </c>
      <c r="E182" s="11">
        <f t="shared" si="16"/>
        <v>1150</v>
      </c>
    </row>
    <row r="183" spans="1:5">
      <c r="A183" s="26">
        <v>45943</v>
      </c>
      <c r="B183" s="27" t="s">
        <v>31</v>
      </c>
      <c r="C183" s="27">
        <v>200</v>
      </c>
      <c r="D183" s="25" t="str">
        <f t="shared" si="15"/>
        <v>5.75</v>
      </c>
      <c r="E183" s="11">
        <f t="shared" si="16"/>
        <v>1150</v>
      </c>
    </row>
    <row r="184" spans="1:5">
      <c r="A184" s="26">
        <v>45943</v>
      </c>
      <c r="B184" s="27" t="s">
        <v>28</v>
      </c>
      <c r="C184" s="27">
        <v>230</v>
      </c>
      <c r="D184" s="25" t="str">
        <f t="shared" si="15"/>
        <v>5.75</v>
      </c>
      <c r="E184" s="11">
        <f t="shared" si="16"/>
        <v>1322</v>
      </c>
    </row>
    <row r="185" spans="1:5">
      <c r="A185" s="26">
        <v>45943</v>
      </c>
      <c r="B185" s="27" t="s">
        <v>29</v>
      </c>
      <c r="C185" s="27">
        <v>294</v>
      </c>
      <c r="D185" s="25" t="str">
        <f t="shared" si="15"/>
        <v>5.75</v>
      </c>
      <c r="E185" s="11">
        <f t="shared" si="16"/>
        <v>1690</v>
      </c>
    </row>
    <row r="186" spans="5:5">
      <c r="E186">
        <f>SUM(E170:E185)</f>
        <v>26319</v>
      </c>
    </row>
  </sheetData>
  <mergeCells count="1">
    <mergeCell ref="B1:D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J25"/>
  <sheetViews>
    <sheetView topLeftCell="A9" workbookViewId="0">
      <selection activeCell="A25" sqref="A25:E25"/>
    </sheetView>
  </sheetViews>
  <sheetFormatPr defaultColWidth="9" defaultRowHeight="14.25"/>
  <cols>
    <col min="1" max="1" width="14.7333333333333" customWidth="1"/>
    <col min="2" max="2" width="11.4666666666667" customWidth="1"/>
  </cols>
  <sheetData>
    <row r="1" ht="20.25" spans="1:7">
      <c r="A1" s="1" t="s">
        <v>0</v>
      </c>
      <c r="B1" s="2" t="s">
        <v>42</v>
      </c>
      <c r="C1" s="3"/>
      <c r="D1" s="4"/>
      <c r="E1" s="32"/>
      <c r="F1" s="6" t="s">
        <v>2</v>
      </c>
      <c r="G1" s="33"/>
    </row>
    <row r="2" spans="1:10">
      <c r="A2" s="14" t="s">
        <v>43</v>
      </c>
      <c r="B2" s="14" t="s">
        <v>44</v>
      </c>
      <c r="C2" s="14" t="s">
        <v>45</v>
      </c>
      <c r="D2" s="34"/>
      <c r="E2" s="11"/>
      <c r="F2" s="10"/>
      <c r="G2" s="11"/>
      <c r="J2" t="str" cm="1">
        <f t="array" ref="J2:J4">_xlfn.TOCOL(A2:C2)</f>
        <v>粤VEA287</v>
      </c>
    </row>
    <row r="3" spans="1:10">
      <c r="A3" s="31"/>
      <c r="B3" s="11"/>
      <c r="C3" s="11"/>
      <c r="D3" s="14"/>
      <c r="E3" s="14"/>
      <c r="F3" s="14"/>
      <c r="G3" s="14"/>
      <c r="J3" t="str">
        <v>粤VBR013</v>
      </c>
    </row>
    <row r="4" spans="1:10">
      <c r="A4" s="29"/>
      <c r="B4" s="14"/>
      <c r="C4" s="30"/>
      <c r="D4" s="14"/>
      <c r="E4" s="14"/>
      <c r="F4" s="14"/>
      <c r="G4" s="14"/>
      <c r="J4" t="str">
        <v>粤V82531</v>
      </c>
    </row>
    <row r="5" spans="1:7">
      <c r="A5" s="29"/>
      <c r="B5" s="14"/>
      <c r="C5" s="30"/>
      <c r="D5" s="14"/>
      <c r="E5" s="14"/>
      <c r="F5" s="14"/>
      <c r="G5" s="14"/>
    </row>
    <row r="6" spans="1:7">
      <c r="A6" s="29"/>
      <c r="B6" s="14"/>
      <c r="C6" s="30"/>
      <c r="D6" s="14"/>
      <c r="E6" s="14"/>
      <c r="F6" s="14"/>
      <c r="G6" s="14"/>
    </row>
    <row r="7" spans="1:7">
      <c r="A7" s="29"/>
      <c r="B7" s="14"/>
      <c r="C7" s="30"/>
      <c r="D7" s="14"/>
      <c r="E7" s="14"/>
      <c r="F7" s="14"/>
      <c r="G7" s="14"/>
    </row>
    <row r="8" spans="1:7">
      <c r="A8" s="29"/>
      <c r="B8" s="14"/>
      <c r="C8" s="30"/>
      <c r="D8" s="14"/>
      <c r="E8" s="14"/>
      <c r="F8" s="14"/>
      <c r="G8" s="14"/>
    </row>
    <row r="9" spans="1:7">
      <c r="A9" s="29"/>
      <c r="B9" s="14"/>
      <c r="C9" s="30"/>
      <c r="D9" s="14"/>
      <c r="E9" s="14"/>
      <c r="F9" s="14"/>
      <c r="G9" s="14"/>
    </row>
    <row r="11" spans="1:7">
      <c r="A11" s="20" t="s">
        <v>19</v>
      </c>
      <c r="B11" s="21" t="s">
        <v>20</v>
      </c>
      <c r="C11" s="22" t="s">
        <v>21</v>
      </c>
      <c r="D11" s="21" t="s">
        <v>22</v>
      </c>
      <c r="E11" s="21" t="s">
        <v>23</v>
      </c>
      <c r="F11" s="21" t="s">
        <v>24</v>
      </c>
      <c r="G11" s="21" t="s">
        <v>25</v>
      </c>
    </row>
    <row r="12" spans="1:7">
      <c r="A12" s="23">
        <v>45923</v>
      </c>
      <c r="B12" s="24" t="s">
        <v>46</v>
      </c>
      <c r="C12" s="24">
        <v>54.12</v>
      </c>
      <c r="D12" s="25" t="str">
        <f t="shared" ref="D12:D14" si="0">IF(C12&gt;=200,"5.75",IF(C12&lt;200,"5.95"))</f>
        <v>5.95</v>
      </c>
      <c r="E12" s="11">
        <f t="shared" ref="E12:E18" si="1">INT(C12*D12)</f>
        <v>322</v>
      </c>
      <c r="F12" s="13"/>
      <c r="G12" s="13"/>
    </row>
    <row r="13" spans="1:7">
      <c r="A13" s="26">
        <v>45926</v>
      </c>
      <c r="B13" s="27" t="s">
        <v>47</v>
      </c>
      <c r="C13" s="27">
        <v>73.97</v>
      </c>
      <c r="D13" s="25" t="str">
        <f t="shared" si="0"/>
        <v>5.95</v>
      </c>
      <c r="E13" s="11">
        <f t="shared" si="1"/>
        <v>440</v>
      </c>
      <c r="F13" s="11"/>
      <c r="G13" s="11"/>
    </row>
    <row r="14" spans="1:7">
      <c r="A14" s="26">
        <v>45927</v>
      </c>
      <c r="B14" s="27" t="s">
        <v>48</v>
      </c>
      <c r="C14" s="27">
        <v>49.92</v>
      </c>
      <c r="D14" s="25" t="str">
        <f t="shared" si="0"/>
        <v>5.95</v>
      </c>
      <c r="E14" s="11">
        <f t="shared" si="1"/>
        <v>297</v>
      </c>
      <c r="F14" s="11"/>
      <c r="G14" s="11"/>
    </row>
    <row r="15" s="35" customFormat="1" spans="1:7">
      <c r="A15" s="37">
        <v>45928</v>
      </c>
      <c r="B15" s="38" t="s">
        <v>46</v>
      </c>
      <c r="C15" s="38">
        <v>56.34</v>
      </c>
      <c r="D15" s="50" t="str">
        <f>IF(C15&gt;=200,"5.85",IF(C15&lt;200,"5.95"))</f>
        <v>5.95</v>
      </c>
      <c r="E15" s="39">
        <f t="shared" si="1"/>
        <v>335</v>
      </c>
      <c r="F15" s="39"/>
      <c r="G15" s="39"/>
    </row>
    <row r="16" spans="1:7">
      <c r="A16" s="26">
        <v>45931</v>
      </c>
      <c r="B16" s="27" t="s">
        <v>47</v>
      </c>
      <c r="C16" s="27">
        <v>29.59</v>
      </c>
      <c r="D16" s="25" t="str">
        <f>IF(C16&gt;=200,"5.85",IF(C16&lt;200,"5.95"))</f>
        <v>5.95</v>
      </c>
      <c r="E16" s="11">
        <f t="shared" si="1"/>
        <v>176</v>
      </c>
      <c r="F16" s="11"/>
      <c r="G16" s="11"/>
    </row>
    <row r="17" spans="1:7">
      <c r="A17" s="26">
        <v>45932</v>
      </c>
      <c r="B17" s="27" t="s">
        <v>48</v>
      </c>
      <c r="C17" s="27">
        <v>55.05</v>
      </c>
      <c r="D17" s="25" t="str">
        <f>IF(C17&gt;=200,"5.85",IF(C17&lt;200,"5.95"))</f>
        <v>5.95</v>
      </c>
      <c r="E17" s="11">
        <f t="shared" si="1"/>
        <v>327</v>
      </c>
      <c r="F17" s="11"/>
      <c r="G17" s="11"/>
    </row>
    <row r="18" spans="1:7">
      <c r="A18" s="26">
        <v>45933</v>
      </c>
      <c r="B18" s="27" t="s">
        <v>46</v>
      </c>
      <c r="C18" s="27">
        <v>56.73</v>
      </c>
      <c r="D18" s="25" t="str">
        <f>IF(C18&gt;=200,"5.85",IF(C18&lt;200,"5.95"))</f>
        <v>5.95</v>
      </c>
      <c r="E18" s="11">
        <f t="shared" si="1"/>
        <v>337</v>
      </c>
      <c r="F18" s="11"/>
      <c r="G18" s="11"/>
    </row>
    <row r="19" spans="1:7">
      <c r="A19" s="11"/>
      <c r="B19" s="11"/>
      <c r="C19" s="11"/>
      <c r="D19" s="25"/>
      <c r="E19" s="11"/>
      <c r="F19" s="11">
        <f>SUM(E17:E18)</f>
        <v>664</v>
      </c>
      <c r="G19" s="11"/>
    </row>
    <row r="20" spans="1:7">
      <c r="A20" s="26">
        <v>45938</v>
      </c>
      <c r="B20" s="27" t="s">
        <v>47</v>
      </c>
      <c r="C20" s="27">
        <v>72.98</v>
      </c>
      <c r="D20" s="25" t="str">
        <f>IF(C20&gt;=200,"5.85",IF(C20&lt;200,"5.95"))</f>
        <v>5.95</v>
      </c>
      <c r="E20" s="11">
        <f>INT(C20*D20)</f>
        <v>434</v>
      </c>
      <c r="F20" s="11"/>
      <c r="G20" s="11"/>
    </row>
    <row r="21" spans="1:7">
      <c r="A21" s="26">
        <v>45938</v>
      </c>
      <c r="B21" s="27" t="s">
        <v>48</v>
      </c>
      <c r="C21" s="27">
        <v>56.09</v>
      </c>
      <c r="D21" s="25" t="str">
        <f>IF(C21&gt;=200,"5.85",IF(C21&lt;200,"5.95"))</f>
        <v>5.95</v>
      </c>
      <c r="E21" s="11">
        <f>INT(C21*D21)</f>
        <v>333</v>
      </c>
      <c r="F21" s="11"/>
      <c r="G21" s="11"/>
    </row>
    <row r="22" spans="1:7">
      <c r="A22" s="11"/>
      <c r="B22" s="11"/>
      <c r="C22" s="11"/>
      <c r="D22" s="25"/>
      <c r="E22" s="11"/>
      <c r="F22" s="11">
        <f>SUM(E20:E21)</f>
        <v>767</v>
      </c>
      <c r="G22" s="11"/>
    </row>
    <row r="23" spans="1:7">
      <c r="A23" s="26">
        <v>45940</v>
      </c>
      <c r="B23" s="27" t="s">
        <v>46</v>
      </c>
      <c r="C23" s="27">
        <v>57.62</v>
      </c>
      <c r="D23" s="25" t="str">
        <f>IF(C23&gt;=200,"5.85",IF(C23&lt;200,"5.95"))</f>
        <v>5.95</v>
      </c>
      <c r="E23" s="11">
        <f>INT(C23*D23)</f>
        <v>342</v>
      </c>
      <c r="F23" s="11"/>
      <c r="G23" s="11"/>
    </row>
    <row r="24" spans="1:7">
      <c r="A24" s="11"/>
      <c r="B24" s="11"/>
      <c r="C24" s="11"/>
      <c r="D24" s="25"/>
      <c r="E24" s="11"/>
      <c r="F24" s="11"/>
      <c r="G24" s="11"/>
    </row>
    <row r="25" spans="1:7">
      <c r="A25" s="26">
        <v>45943</v>
      </c>
      <c r="B25" s="27" t="s">
        <v>48</v>
      </c>
      <c r="C25" s="27">
        <v>59.61</v>
      </c>
      <c r="D25" s="25" t="str">
        <f>IF(C25&gt;=200,"5.85",IF(C25&lt;200,"5.95"))</f>
        <v>5.95</v>
      </c>
      <c r="E25" s="11">
        <f>INT(C25*D25)</f>
        <v>354</v>
      </c>
      <c r="F25" s="11"/>
      <c r="G25" s="11"/>
    </row>
  </sheetData>
  <mergeCells count="1">
    <mergeCell ref="B1:D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K12"/>
  <sheetViews>
    <sheetView workbookViewId="0">
      <selection activeCell="D40" sqref="D40"/>
    </sheetView>
  </sheetViews>
  <sheetFormatPr defaultColWidth="9" defaultRowHeight="14.25"/>
  <sheetData>
    <row r="1" ht="20.25" spans="1:7">
      <c r="A1" s="1" t="s">
        <v>0</v>
      </c>
      <c r="B1" s="2" t="s">
        <v>49</v>
      </c>
      <c r="C1" s="3"/>
      <c r="D1" s="4"/>
      <c r="E1" s="32"/>
      <c r="F1" s="6" t="s">
        <v>2</v>
      </c>
      <c r="G1" s="33"/>
    </row>
    <row r="2" spans="1:7">
      <c r="A2" s="11" t="s">
        <v>50</v>
      </c>
      <c r="B2" s="34" t="s">
        <v>51</v>
      </c>
      <c r="C2" s="36"/>
      <c r="D2" s="34"/>
      <c r="E2" s="11"/>
      <c r="F2" s="10"/>
      <c r="G2" s="11"/>
    </row>
    <row r="3" spans="1:11">
      <c r="A3" s="31"/>
      <c r="B3" s="11"/>
      <c r="C3" s="11"/>
      <c r="D3" s="14"/>
      <c r="E3" s="14"/>
      <c r="F3" s="14"/>
      <c r="G3" s="14"/>
      <c r="K3" t="str" cm="1">
        <f t="array" ref="K3:K4">_xlfn.TOCOL(A2:B2)</f>
        <v>赣CBC171</v>
      </c>
    </row>
    <row r="4" spans="1:11">
      <c r="A4" s="29"/>
      <c r="B4" s="14"/>
      <c r="C4" s="30"/>
      <c r="D4" s="14"/>
      <c r="E4" s="14"/>
      <c r="F4" s="14"/>
      <c r="G4" s="14"/>
      <c r="K4" t="str">
        <v>豫RUS963</v>
      </c>
    </row>
    <row r="5" spans="1:7">
      <c r="A5" s="29"/>
      <c r="B5" s="14"/>
      <c r="C5" s="30"/>
      <c r="D5" s="14"/>
      <c r="E5" s="14"/>
      <c r="F5" s="14"/>
      <c r="G5" s="14"/>
    </row>
    <row r="6" spans="1:7">
      <c r="A6" s="29"/>
      <c r="B6" s="14"/>
      <c r="C6" s="30"/>
      <c r="D6" s="14"/>
      <c r="E6" s="14"/>
      <c r="F6" s="14"/>
      <c r="G6" s="14"/>
    </row>
    <row r="7" spans="1:7">
      <c r="A7" s="29"/>
      <c r="B7" s="14"/>
      <c r="C7" s="30"/>
      <c r="D7" s="14"/>
      <c r="E7" s="14"/>
      <c r="F7" s="14"/>
      <c r="G7" s="14"/>
    </row>
    <row r="8" spans="1:7">
      <c r="A8" s="29"/>
      <c r="B8" s="14"/>
      <c r="C8" s="30"/>
      <c r="D8" s="14"/>
      <c r="E8" s="14"/>
      <c r="F8" s="14"/>
      <c r="G8" s="14"/>
    </row>
    <row r="9" spans="1:7">
      <c r="A9" s="29"/>
      <c r="B9" s="14"/>
      <c r="C9" s="30"/>
      <c r="D9" s="14"/>
      <c r="E9" s="14"/>
      <c r="F9" s="14"/>
      <c r="G9" s="14"/>
    </row>
    <row r="11" spans="1:7">
      <c r="A11" s="20" t="s">
        <v>19</v>
      </c>
      <c r="B11" s="21" t="s">
        <v>20</v>
      </c>
      <c r="C11" s="22" t="s">
        <v>21</v>
      </c>
      <c r="D11" s="21" t="s">
        <v>22</v>
      </c>
      <c r="E11" s="21" t="s">
        <v>23</v>
      </c>
      <c r="F11" s="21" t="s">
        <v>24</v>
      </c>
      <c r="G11" s="21" t="s">
        <v>25</v>
      </c>
    </row>
    <row r="12" spans="4:5">
      <c r="D12" s="25" t="str">
        <f t="shared" ref="D12" si="0">IF(C12&gt;=200,"5.75",IF(C12&lt;200,"5.95"))</f>
        <v>5.95</v>
      </c>
      <c r="E12" s="11">
        <f t="shared" ref="E12" si="1">INT(C12*D12)</f>
        <v>0</v>
      </c>
    </row>
  </sheetData>
  <mergeCells count="1">
    <mergeCell ref="B1:D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J14"/>
  <sheetViews>
    <sheetView workbookViewId="0">
      <selection activeCell="J3" sqref="J3:J4"/>
    </sheetView>
  </sheetViews>
  <sheetFormatPr defaultColWidth="9" defaultRowHeight="14.25"/>
  <sheetData>
    <row r="1" ht="20.25" spans="1:7">
      <c r="A1" s="1" t="s">
        <v>0</v>
      </c>
      <c r="B1" s="2" t="s">
        <v>52</v>
      </c>
      <c r="C1" s="3"/>
      <c r="D1" s="4"/>
      <c r="E1" s="32"/>
      <c r="F1" s="6" t="s">
        <v>2</v>
      </c>
      <c r="G1" s="33"/>
    </row>
    <row r="2" spans="1:7">
      <c r="A2" s="11" t="s">
        <v>53</v>
      </c>
      <c r="B2" s="11" t="s">
        <v>54</v>
      </c>
      <c r="C2" s="36"/>
      <c r="D2" s="34"/>
      <c r="E2" s="11"/>
      <c r="F2" s="10"/>
      <c r="G2" s="11"/>
    </row>
    <row r="3" spans="1:10">
      <c r="A3" s="31"/>
      <c r="B3" s="11"/>
      <c r="C3" s="11"/>
      <c r="D3" s="14"/>
      <c r="E3" s="14"/>
      <c r="F3" s="14"/>
      <c r="G3" s="14"/>
      <c r="J3" t="str" cm="1">
        <f t="array" ref="J3:J4">_xlfn.TOCOL(A2:B2)</f>
        <v>赣M50369</v>
      </c>
    </row>
    <row r="4" spans="1:10">
      <c r="A4" s="29"/>
      <c r="B4" s="14"/>
      <c r="C4" s="30"/>
      <c r="D4" s="14"/>
      <c r="E4" s="14"/>
      <c r="F4" s="14"/>
      <c r="G4" s="14"/>
      <c r="J4" t="str">
        <v>赣AH8785</v>
      </c>
    </row>
    <row r="5" spans="1:7">
      <c r="A5" s="29"/>
      <c r="B5" s="14"/>
      <c r="C5" s="30"/>
      <c r="D5" s="14"/>
      <c r="E5" s="14"/>
      <c r="F5" s="14"/>
      <c r="G5" s="14"/>
    </row>
    <row r="6" spans="1:7">
      <c r="A6" s="29"/>
      <c r="B6" s="14"/>
      <c r="C6" s="30"/>
      <c r="D6" s="14"/>
      <c r="E6" s="14"/>
      <c r="F6" s="14"/>
      <c r="G6" s="14"/>
    </row>
    <row r="7" spans="1:7">
      <c r="A7" s="29"/>
      <c r="B7" s="14"/>
      <c r="C7" s="30"/>
      <c r="D7" s="14"/>
      <c r="E7" s="14"/>
      <c r="F7" s="14"/>
      <c r="G7" s="14"/>
    </row>
    <row r="8" spans="1:7">
      <c r="A8" s="29"/>
      <c r="B8" s="14"/>
      <c r="C8" s="30"/>
      <c r="D8" s="14"/>
      <c r="E8" s="14"/>
      <c r="F8" s="14"/>
      <c r="G8" s="14"/>
    </row>
    <row r="9" spans="1:7">
      <c r="A9" s="29"/>
      <c r="B9" s="14"/>
      <c r="C9" s="30"/>
      <c r="D9" s="14"/>
      <c r="E9" s="14"/>
      <c r="F9" s="14"/>
      <c r="G9" s="14"/>
    </row>
    <row r="11" spans="1:7">
      <c r="A11" s="20" t="s">
        <v>19</v>
      </c>
      <c r="B11" s="21" t="s">
        <v>20</v>
      </c>
      <c r="C11" s="22" t="s">
        <v>21</v>
      </c>
      <c r="D11" s="21" t="s">
        <v>22</v>
      </c>
      <c r="E11" s="21" t="s">
        <v>23</v>
      </c>
      <c r="F11" s="21" t="s">
        <v>24</v>
      </c>
      <c r="G11" s="21" t="s">
        <v>25</v>
      </c>
    </row>
    <row r="12" spans="1:5">
      <c r="A12" s="26">
        <v>45932</v>
      </c>
      <c r="B12" s="27" t="s">
        <v>55</v>
      </c>
      <c r="C12" s="27">
        <v>510</v>
      </c>
      <c r="D12" s="25" t="str">
        <f>IF(C12&gt;=200,"5.85",IF(C12&lt;200,"5.95"))</f>
        <v>5.85</v>
      </c>
      <c r="E12" s="11">
        <f t="shared" ref="E12" si="0">INT(C12*D12)</f>
        <v>2983</v>
      </c>
    </row>
    <row r="13" spans="4:5">
      <c r="D13" s="25"/>
      <c r="E13" s="11"/>
    </row>
    <row r="14" spans="1:5">
      <c r="A14" s="26">
        <v>45936</v>
      </c>
      <c r="B14" s="27" t="s">
        <v>56</v>
      </c>
      <c r="C14" s="27">
        <v>420</v>
      </c>
      <c r="D14" s="25" t="str">
        <f>IF(C14&gt;=200,"5.85",IF(C14&lt;200,"5.95"))</f>
        <v>5.85</v>
      </c>
      <c r="E14" s="11">
        <f>INT(C14*D14)</f>
        <v>2457</v>
      </c>
    </row>
  </sheetData>
  <mergeCells count="1">
    <mergeCell ref="B1:D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6"/>
  <sheetViews>
    <sheetView topLeftCell="A75" workbookViewId="0">
      <selection activeCell="A99" sqref="A99:E106"/>
    </sheetView>
  </sheetViews>
  <sheetFormatPr defaultColWidth="9" defaultRowHeight="14.25"/>
  <cols>
    <col min="1" max="1" width="10.3333333333333" customWidth="1"/>
    <col min="2" max="2" width="12" customWidth="1"/>
  </cols>
  <sheetData>
    <row r="1" ht="20.25" spans="1:11">
      <c r="A1" s="1" t="s">
        <v>0</v>
      </c>
      <c r="B1" s="2" t="s">
        <v>57</v>
      </c>
      <c r="C1" s="3"/>
      <c r="D1" s="4"/>
      <c r="E1" s="32"/>
      <c r="F1" s="6" t="s">
        <v>2</v>
      </c>
      <c r="G1" s="33"/>
      <c r="K1" t="str" cm="1">
        <f t="array" ref="K1:K15">_xlfn.TOCOL(A2:E4)</f>
        <v>粤BDX932</v>
      </c>
    </row>
    <row r="2" spans="1:11">
      <c r="A2" s="29" t="s">
        <v>58</v>
      </c>
      <c r="B2" s="14" t="s">
        <v>59</v>
      </c>
      <c r="C2" s="30" t="s">
        <v>60</v>
      </c>
      <c r="D2" s="14" t="s">
        <v>61</v>
      </c>
      <c r="E2" s="14" t="s">
        <v>62</v>
      </c>
      <c r="F2" s="10"/>
      <c r="G2" s="11"/>
      <c r="K2" t="str">
        <v>粤BHA073</v>
      </c>
    </row>
    <row r="3" spans="1:11">
      <c r="A3" s="29" t="s">
        <v>63</v>
      </c>
      <c r="B3" s="14" t="s">
        <v>64</v>
      </c>
      <c r="C3" s="30" t="s">
        <v>65</v>
      </c>
      <c r="D3" s="14" t="s">
        <v>66</v>
      </c>
      <c r="E3" s="14" t="s">
        <v>67</v>
      </c>
      <c r="F3" s="14"/>
      <c r="G3" s="14"/>
      <c r="K3" t="str">
        <v>粤BHC568</v>
      </c>
    </row>
    <row r="4" spans="1:11">
      <c r="A4" s="29" t="s">
        <v>68</v>
      </c>
      <c r="B4" s="14" t="s">
        <v>69</v>
      </c>
      <c r="C4" s="30"/>
      <c r="D4" s="14"/>
      <c r="E4" s="14"/>
      <c r="F4" s="14"/>
      <c r="G4" s="14"/>
      <c r="K4" t="str">
        <v>粤BJM695</v>
      </c>
    </row>
    <row r="5" spans="1:11">
      <c r="A5" s="11"/>
      <c r="B5" s="11"/>
      <c r="C5" s="11"/>
      <c r="D5" s="11"/>
      <c r="E5" s="11"/>
      <c r="F5" s="14"/>
      <c r="G5" s="14"/>
      <c r="K5" t="str">
        <v>沪EF5853</v>
      </c>
    </row>
    <row r="6" spans="1:11">
      <c r="A6" s="11"/>
      <c r="B6" s="11"/>
      <c r="C6" s="11"/>
      <c r="D6" s="11"/>
      <c r="E6" s="11"/>
      <c r="F6" s="14"/>
      <c r="G6" s="14"/>
      <c r="K6" t="str">
        <v>皖SB5011</v>
      </c>
    </row>
    <row r="7" spans="1:11">
      <c r="A7" s="11"/>
      <c r="B7" s="11"/>
      <c r="C7" s="11"/>
      <c r="D7" s="11"/>
      <c r="E7" s="11"/>
      <c r="F7" s="14"/>
      <c r="G7" s="14"/>
      <c r="K7" t="str">
        <v>粤BHK663</v>
      </c>
    </row>
    <row r="8" spans="1:11">
      <c r="A8" s="11"/>
      <c r="B8" s="11"/>
      <c r="C8" s="11"/>
      <c r="D8" s="11"/>
      <c r="E8" s="11"/>
      <c r="F8" s="14"/>
      <c r="G8" s="14"/>
      <c r="K8" t="str">
        <v>赣C1669T</v>
      </c>
    </row>
    <row r="9" spans="1:11">
      <c r="A9" s="29"/>
      <c r="B9" s="14"/>
      <c r="C9" s="30"/>
      <c r="D9" s="14"/>
      <c r="E9" s="14"/>
      <c r="F9" s="14"/>
      <c r="G9" s="14"/>
      <c r="K9" t="str">
        <v>贵CF4037</v>
      </c>
    </row>
    <row r="10" spans="11:11">
      <c r="K10" t="str">
        <v>赣CH7075</v>
      </c>
    </row>
    <row r="11" spans="1:11">
      <c r="A11" s="20" t="s">
        <v>19</v>
      </c>
      <c r="B11" s="21" t="s">
        <v>20</v>
      </c>
      <c r="C11" s="22" t="s">
        <v>21</v>
      </c>
      <c r="D11" s="21" t="s">
        <v>22</v>
      </c>
      <c r="E11" s="21" t="s">
        <v>23</v>
      </c>
      <c r="F11" s="21" t="s">
        <v>24</v>
      </c>
      <c r="G11" s="21" t="s">
        <v>25</v>
      </c>
      <c r="H11" s="21" t="s">
        <v>70</v>
      </c>
      <c r="K11" t="str">
        <v>赣CH9315</v>
      </c>
    </row>
    <row r="12" spans="1:11">
      <c r="A12" s="23">
        <v>45925</v>
      </c>
      <c r="B12" s="24" t="s">
        <v>71</v>
      </c>
      <c r="C12" s="24">
        <v>460</v>
      </c>
      <c r="D12" s="25" t="str">
        <f t="shared" ref="D12:D13" si="0">IF(C12&gt;=200,"5.75",IF(C12&lt;200,"5.95"))</f>
        <v>5.75</v>
      </c>
      <c r="E12" s="11">
        <f t="shared" ref="E12:E15" si="1">INT(C12*D12)</f>
        <v>2645</v>
      </c>
      <c r="F12" s="13"/>
      <c r="G12" s="13"/>
      <c r="K12" t="str">
        <v>粤AJN869</v>
      </c>
    </row>
    <row r="13" spans="1:11">
      <c r="A13" s="26">
        <v>45927</v>
      </c>
      <c r="B13" s="27" t="s">
        <v>72</v>
      </c>
      <c r="C13" s="27">
        <v>170.22</v>
      </c>
      <c r="D13" s="25" t="str">
        <f t="shared" si="0"/>
        <v>5.95</v>
      </c>
      <c r="E13" s="11">
        <f t="shared" si="1"/>
        <v>1012</v>
      </c>
      <c r="F13" s="13"/>
      <c r="G13" s="13"/>
      <c r="K13">
        <v>0</v>
      </c>
    </row>
    <row r="14" spans="1:11">
      <c r="A14" s="26">
        <v>45928</v>
      </c>
      <c r="B14" s="27" t="s">
        <v>73</v>
      </c>
      <c r="C14" s="27">
        <v>200</v>
      </c>
      <c r="D14" s="25" t="str">
        <f>IF(C14&gt;=200,"5.85",IF(C14&lt;200,"5.95"))</f>
        <v>5.85</v>
      </c>
      <c r="E14" s="11">
        <f t="shared" si="1"/>
        <v>1170</v>
      </c>
      <c r="F14" s="13"/>
      <c r="G14" s="13"/>
      <c r="K14">
        <v>0</v>
      </c>
    </row>
    <row r="15" s="35" customFormat="1" spans="1:11">
      <c r="A15" s="37">
        <v>45928</v>
      </c>
      <c r="B15" s="38" t="s">
        <v>74</v>
      </c>
      <c r="C15" s="38">
        <v>400</v>
      </c>
      <c r="D15" s="50" t="str">
        <f>IF(C15&gt;=200,"5.85",IF(C15&lt;200,"5.95"))</f>
        <v>5.85</v>
      </c>
      <c r="E15" s="39">
        <f t="shared" si="1"/>
        <v>2340</v>
      </c>
      <c r="F15" s="46"/>
      <c r="G15" s="46"/>
      <c r="K15" s="35">
        <v>0</v>
      </c>
    </row>
    <row r="16" s="35" customFormat="1" spans="1:7">
      <c r="A16" s="37"/>
      <c r="B16" s="38"/>
      <c r="C16" s="38"/>
      <c r="D16" s="50"/>
      <c r="E16" s="39"/>
      <c r="F16" s="46"/>
      <c r="G16" s="46"/>
    </row>
    <row r="17" spans="1:7">
      <c r="A17" s="26">
        <v>45929</v>
      </c>
      <c r="B17" s="27" t="s">
        <v>73</v>
      </c>
      <c r="C17" s="27">
        <v>398</v>
      </c>
      <c r="D17" s="25" t="str">
        <f t="shared" ref="D17:D30" si="2">IF(C17&gt;=200,"5.85",IF(C17&lt;200,"5.95"))</f>
        <v>5.85</v>
      </c>
      <c r="E17" s="11">
        <f t="shared" ref="E17:E30" si="3">INT(C17*D17)</f>
        <v>2328</v>
      </c>
      <c r="F17" s="13"/>
      <c r="G17" s="13"/>
    </row>
    <row r="18" spans="1:7">
      <c r="A18" s="26">
        <v>45929</v>
      </c>
      <c r="B18" s="27" t="s">
        <v>75</v>
      </c>
      <c r="C18" s="27">
        <v>300</v>
      </c>
      <c r="D18" s="25" t="str">
        <f t="shared" si="2"/>
        <v>5.85</v>
      </c>
      <c r="E18" s="11">
        <f t="shared" si="3"/>
        <v>1755</v>
      </c>
      <c r="F18" s="13"/>
      <c r="G18" s="13"/>
    </row>
    <row r="19" spans="1:7">
      <c r="A19" s="26">
        <v>45929</v>
      </c>
      <c r="B19" s="27" t="s">
        <v>76</v>
      </c>
      <c r="C19" s="27">
        <v>320</v>
      </c>
      <c r="D19" s="25" t="str">
        <f t="shared" si="2"/>
        <v>5.85</v>
      </c>
      <c r="E19" s="11">
        <f t="shared" si="3"/>
        <v>1872</v>
      </c>
      <c r="F19" s="13"/>
      <c r="G19" s="13"/>
    </row>
    <row r="20" spans="1:7">
      <c r="A20" s="26">
        <v>45929</v>
      </c>
      <c r="B20" s="27" t="s">
        <v>77</v>
      </c>
      <c r="C20" s="27">
        <v>209</v>
      </c>
      <c r="D20" s="25" t="str">
        <f t="shared" si="2"/>
        <v>5.85</v>
      </c>
      <c r="E20" s="11">
        <f t="shared" si="3"/>
        <v>1222</v>
      </c>
      <c r="F20" s="11"/>
      <c r="G20" s="11"/>
    </row>
    <row r="21" spans="1:7">
      <c r="A21" s="26">
        <v>45930</v>
      </c>
      <c r="B21" s="27" t="s">
        <v>76</v>
      </c>
      <c r="C21" s="27">
        <v>200</v>
      </c>
      <c r="D21" s="25" t="str">
        <f t="shared" si="2"/>
        <v>5.85</v>
      </c>
      <c r="E21" s="11">
        <f t="shared" si="3"/>
        <v>1170</v>
      </c>
      <c r="F21" s="11"/>
      <c r="G21" s="11"/>
    </row>
    <row r="22" spans="1:7">
      <c r="A22" s="26">
        <v>45930</v>
      </c>
      <c r="B22" s="27" t="s">
        <v>77</v>
      </c>
      <c r="C22" s="27">
        <v>240</v>
      </c>
      <c r="D22" s="25">
        <v>5.8</v>
      </c>
      <c r="E22" s="11">
        <f t="shared" si="3"/>
        <v>1392</v>
      </c>
      <c r="F22" s="11"/>
      <c r="G22" s="11"/>
    </row>
    <row r="23" spans="1:7">
      <c r="A23" s="26">
        <v>45930</v>
      </c>
      <c r="B23" s="27" t="s">
        <v>74</v>
      </c>
      <c r="C23" s="27">
        <v>255</v>
      </c>
      <c r="D23" s="25" t="str">
        <f t="shared" si="2"/>
        <v>5.85</v>
      </c>
      <c r="E23" s="11">
        <f t="shared" si="3"/>
        <v>1491</v>
      </c>
      <c r="F23" s="11"/>
      <c r="G23" s="11"/>
    </row>
    <row r="24" spans="1:7">
      <c r="A24" s="26">
        <v>45930</v>
      </c>
      <c r="B24" s="27" t="s">
        <v>73</v>
      </c>
      <c r="C24" s="27">
        <v>200</v>
      </c>
      <c r="D24" s="25" t="str">
        <f t="shared" si="2"/>
        <v>5.85</v>
      </c>
      <c r="E24" s="11">
        <f t="shared" si="3"/>
        <v>1170</v>
      </c>
      <c r="F24" s="11"/>
      <c r="G24" s="11"/>
    </row>
    <row r="25" spans="1:7">
      <c r="A25" s="26">
        <v>45930</v>
      </c>
      <c r="B25" s="27" t="s">
        <v>75</v>
      </c>
      <c r="C25" s="27">
        <v>300</v>
      </c>
      <c r="D25" s="25" t="str">
        <f t="shared" si="2"/>
        <v>5.85</v>
      </c>
      <c r="E25" s="11">
        <f t="shared" si="3"/>
        <v>1755</v>
      </c>
      <c r="F25" s="11"/>
      <c r="G25" s="11"/>
    </row>
    <row r="26" spans="1:7">
      <c r="A26" s="26">
        <v>45930</v>
      </c>
      <c r="B26" s="27" t="s">
        <v>76</v>
      </c>
      <c r="C26" s="27">
        <v>434</v>
      </c>
      <c r="D26" s="25" t="str">
        <f t="shared" si="2"/>
        <v>5.85</v>
      </c>
      <c r="E26" s="11">
        <f t="shared" si="3"/>
        <v>2538</v>
      </c>
      <c r="F26" s="11"/>
      <c r="G26" s="11"/>
    </row>
    <row r="27" spans="1:7">
      <c r="A27" s="26">
        <v>45930</v>
      </c>
      <c r="B27" s="27" t="s">
        <v>77</v>
      </c>
      <c r="C27" s="27">
        <v>309</v>
      </c>
      <c r="D27" s="25" t="str">
        <f t="shared" si="2"/>
        <v>5.85</v>
      </c>
      <c r="E27" s="11">
        <f t="shared" si="3"/>
        <v>1807</v>
      </c>
      <c r="F27" s="11"/>
      <c r="G27" s="11"/>
    </row>
    <row r="28" spans="1:7">
      <c r="A28" s="26">
        <v>45931</v>
      </c>
      <c r="B28" s="27" t="s">
        <v>73</v>
      </c>
      <c r="C28" s="27">
        <v>200</v>
      </c>
      <c r="D28" s="25" t="str">
        <f t="shared" si="2"/>
        <v>5.85</v>
      </c>
      <c r="E28" s="11">
        <f t="shared" si="3"/>
        <v>1170</v>
      </c>
      <c r="F28" s="11"/>
      <c r="G28" s="11"/>
    </row>
    <row r="29" spans="1:7">
      <c r="A29" s="26">
        <v>45931</v>
      </c>
      <c r="B29" s="27" t="s">
        <v>71</v>
      </c>
      <c r="C29" s="27">
        <v>484</v>
      </c>
      <c r="D29" s="25" t="str">
        <f t="shared" si="2"/>
        <v>5.85</v>
      </c>
      <c r="E29" s="11">
        <f t="shared" si="3"/>
        <v>2831</v>
      </c>
      <c r="F29" s="11"/>
      <c r="G29" s="11"/>
    </row>
    <row r="30" spans="1:7">
      <c r="A30" s="26">
        <v>45931</v>
      </c>
      <c r="B30" s="27" t="s">
        <v>74</v>
      </c>
      <c r="C30" s="27">
        <v>400</v>
      </c>
      <c r="D30" s="25" t="str">
        <f t="shared" si="2"/>
        <v>5.85</v>
      </c>
      <c r="E30" s="11">
        <f t="shared" si="3"/>
        <v>2340</v>
      </c>
      <c r="F30" s="11"/>
      <c r="G30" s="11"/>
    </row>
    <row r="31" spans="1:7">
      <c r="A31" s="11"/>
      <c r="B31" s="11"/>
      <c r="C31" s="11"/>
      <c r="D31" s="25"/>
      <c r="E31" s="11"/>
      <c r="F31" s="11"/>
      <c r="G31" s="11"/>
    </row>
    <row r="32" spans="1:7">
      <c r="A32" s="26">
        <v>45932</v>
      </c>
      <c r="B32" s="27" t="s">
        <v>78</v>
      </c>
      <c r="C32" s="27">
        <v>475</v>
      </c>
      <c r="D32" s="25" t="str">
        <f>IF(C32&gt;=200,"5.85",IF(C32&lt;200,"5.95"))</f>
        <v>5.85</v>
      </c>
      <c r="E32" s="11">
        <f t="shared" ref="E31:E51" si="4">INT(C32*D32)</f>
        <v>2778</v>
      </c>
      <c r="F32" s="11"/>
      <c r="G32" s="11"/>
    </row>
    <row r="33" spans="1:5">
      <c r="A33" s="26">
        <v>45932</v>
      </c>
      <c r="B33" s="27" t="s">
        <v>73</v>
      </c>
      <c r="C33" s="27">
        <v>221.9</v>
      </c>
      <c r="D33" s="25" t="str">
        <f t="shared" ref="D33:D51" si="5">IF(C33&gt;=200,"5.85",IF(C33&lt;200,"5.95"))</f>
        <v>5.85</v>
      </c>
      <c r="E33" s="11">
        <f t="shared" si="4"/>
        <v>1298</v>
      </c>
    </row>
    <row r="34" spans="1:5">
      <c r="A34" s="26">
        <v>45932</v>
      </c>
      <c r="B34" s="27" t="s">
        <v>75</v>
      </c>
      <c r="C34" s="27">
        <v>200</v>
      </c>
      <c r="D34" s="25" t="str">
        <f t="shared" si="5"/>
        <v>5.85</v>
      </c>
      <c r="E34" s="11">
        <f t="shared" si="4"/>
        <v>1170</v>
      </c>
    </row>
    <row r="35" spans="1:5">
      <c r="A35" s="26">
        <v>45932</v>
      </c>
      <c r="B35" s="27" t="s">
        <v>76</v>
      </c>
      <c r="C35" s="27">
        <v>315</v>
      </c>
      <c r="D35" s="25" t="str">
        <f t="shared" si="5"/>
        <v>5.85</v>
      </c>
      <c r="E35" s="11">
        <f t="shared" si="4"/>
        <v>1842</v>
      </c>
    </row>
    <row r="36" spans="1:5">
      <c r="A36" s="26">
        <v>45932</v>
      </c>
      <c r="B36" s="27" t="s">
        <v>79</v>
      </c>
      <c r="C36" s="27">
        <v>300</v>
      </c>
      <c r="D36" s="25" t="str">
        <f t="shared" si="5"/>
        <v>5.85</v>
      </c>
      <c r="E36" s="11">
        <f t="shared" si="4"/>
        <v>1755</v>
      </c>
    </row>
    <row r="37" spans="1:5">
      <c r="A37" s="26">
        <v>45932</v>
      </c>
      <c r="B37" s="27" t="s">
        <v>72</v>
      </c>
      <c r="C37" s="27">
        <v>300</v>
      </c>
      <c r="D37" s="25" t="str">
        <f t="shared" si="5"/>
        <v>5.85</v>
      </c>
      <c r="E37" s="11">
        <f t="shared" si="4"/>
        <v>1755</v>
      </c>
    </row>
    <row r="38" spans="1:5">
      <c r="A38" s="26">
        <v>45932</v>
      </c>
      <c r="B38" s="27" t="s">
        <v>77</v>
      </c>
      <c r="C38" s="27">
        <v>207</v>
      </c>
      <c r="D38" s="25" t="str">
        <f t="shared" si="5"/>
        <v>5.85</v>
      </c>
      <c r="E38" s="11">
        <f t="shared" si="4"/>
        <v>1210</v>
      </c>
    </row>
    <row r="39" spans="1:5">
      <c r="A39" s="26">
        <v>45933</v>
      </c>
      <c r="B39" s="27" t="s">
        <v>75</v>
      </c>
      <c r="C39" s="27">
        <v>200</v>
      </c>
      <c r="D39" s="25" t="str">
        <f t="shared" si="5"/>
        <v>5.85</v>
      </c>
      <c r="E39" s="11">
        <f t="shared" si="4"/>
        <v>1170</v>
      </c>
    </row>
    <row r="40" spans="1:5">
      <c r="A40" s="26">
        <v>45933</v>
      </c>
      <c r="B40" s="27" t="s">
        <v>73</v>
      </c>
      <c r="C40" s="27">
        <v>350</v>
      </c>
      <c r="D40" s="25" t="str">
        <f t="shared" si="5"/>
        <v>5.85</v>
      </c>
      <c r="E40" s="11">
        <f t="shared" si="4"/>
        <v>2047</v>
      </c>
    </row>
    <row r="41" spans="1:5">
      <c r="A41" s="26">
        <v>45933</v>
      </c>
      <c r="B41" s="27" t="s">
        <v>74</v>
      </c>
      <c r="C41" s="27">
        <v>233.15</v>
      </c>
      <c r="D41" s="25" t="str">
        <f t="shared" si="5"/>
        <v>5.85</v>
      </c>
      <c r="E41" s="11">
        <f t="shared" si="4"/>
        <v>1363</v>
      </c>
    </row>
    <row r="42" spans="1:5">
      <c r="A42" s="26">
        <v>45933</v>
      </c>
      <c r="B42" s="27" t="s">
        <v>79</v>
      </c>
      <c r="C42" s="27">
        <v>200</v>
      </c>
      <c r="D42" s="25" t="str">
        <f t="shared" si="5"/>
        <v>5.85</v>
      </c>
      <c r="E42" s="11">
        <f t="shared" si="4"/>
        <v>1170</v>
      </c>
    </row>
    <row r="43" spans="1:5">
      <c r="A43" s="26">
        <v>45933</v>
      </c>
      <c r="B43" s="27" t="s">
        <v>72</v>
      </c>
      <c r="C43" s="27">
        <v>260</v>
      </c>
      <c r="D43" s="25" t="str">
        <f t="shared" si="5"/>
        <v>5.85</v>
      </c>
      <c r="E43" s="11">
        <f t="shared" si="4"/>
        <v>1521</v>
      </c>
    </row>
    <row r="44" spans="1:5">
      <c r="A44" s="26">
        <v>45933</v>
      </c>
      <c r="B44" s="27" t="s">
        <v>71</v>
      </c>
      <c r="C44" s="27">
        <v>200</v>
      </c>
      <c r="D44" s="25" t="str">
        <f t="shared" si="5"/>
        <v>5.85</v>
      </c>
      <c r="E44" s="11">
        <f t="shared" si="4"/>
        <v>1170</v>
      </c>
    </row>
    <row r="45" spans="1:5">
      <c r="A45" s="26">
        <v>45934</v>
      </c>
      <c r="B45" s="27" t="s">
        <v>76</v>
      </c>
      <c r="C45" s="27">
        <v>209.08</v>
      </c>
      <c r="D45" s="25" t="str">
        <f t="shared" si="5"/>
        <v>5.85</v>
      </c>
      <c r="E45" s="11">
        <f t="shared" si="4"/>
        <v>1223</v>
      </c>
    </row>
    <row r="46" spans="1:5">
      <c r="A46" s="26">
        <v>45934</v>
      </c>
      <c r="B46" s="27" t="s">
        <v>77</v>
      </c>
      <c r="C46" s="27">
        <v>240</v>
      </c>
      <c r="D46" s="25" t="str">
        <f t="shared" si="5"/>
        <v>5.85</v>
      </c>
      <c r="E46" s="11">
        <f t="shared" si="4"/>
        <v>1404</v>
      </c>
    </row>
    <row r="47" spans="1:5">
      <c r="A47" s="26">
        <v>45934</v>
      </c>
      <c r="B47" s="27" t="s">
        <v>74</v>
      </c>
      <c r="C47" s="27">
        <v>230</v>
      </c>
      <c r="D47" s="25" t="str">
        <f t="shared" si="5"/>
        <v>5.85</v>
      </c>
      <c r="E47" s="11">
        <f t="shared" si="4"/>
        <v>1345</v>
      </c>
    </row>
    <row r="48" spans="1:5">
      <c r="A48" s="26">
        <v>45934</v>
      </c>
      <c r="B48" s="27" t="s">
        <v>73</v>
      </c>
      <c r="C48" s="27">
        <v>187</v>
      </c>
      <c r="D48" s="25" t="str">
        <f t="shared" si="5"/>
        <v>5.95</v>
      </c>
      <c r="E48" s="11">
        <f t="shared" si="4"/>
        <v>1112</v>
      </c>
    </row>
    <row r="49" spans="1:5">
      <c r="A49" s="26">
        <v>45934</v>
      </c>
      <c r="B49" s="27" t="s">
        <v>75</v>
      </c>
      <c r="C49" s="27">
        <v>125</v>
      </c>
      <c r="D49" s="25" t="str">
        <f t="shared" si="5"/>
        <v>5.95</v>
      </c>
      <c r="E49" s="11">
        <f t="shared" si="4"/>
        <v>743</v>
      </c>
    </row>
    <row r="50" spans="1:5">
      <c r="A50" s="26">
        <v>45934</v>
      </c>
      <c r="B50" s="27" t="s">
        <v>76</v>
      </c>
      <c r="C50" s="27">
        <v>400</v>
      </c>
      <c r="D50" s="25" t="str">
        <f t="shared" si="5"/>
        <v>5.85</v>
      </c>
      <c r="E50" s="11">
        <f t="shared" si="4"/>
        <v>2340</v>
      </c>
    </row>
    <row r="51" spans="1:5">
      <c r="A51" s="26">
        <v>45934</v>
      </c>
      <c r="B51" s="27" t="s">
        <v>77</v>
      </c>
      <c r="C51" s="27">
        <v>300</v>
      </c>
      <c r="D51" s="25" t="str">
        <f t="shared" si="5"/>
        <v>5.85</v>
      </c>
      <c r="E51" s="11">
        <f t="shared" si="4"/>
        <v>1755</v>
      </c>
    </row>
    <row r="52" spans="4:6">
      <c r="D52" s="25"/>
      <c r="E52" s="11"/>
      <c r="F52">
        <f>SUM(E32:E51)</f>
        <v>30171</v>
      </c>
    </row>
    <row r="53" spans="1:5">
      <c r="A53" s="26">
        <v>45935</v>
      </c>
      <c r="B53" s="27" t="s">
        <v>77</v>
      </c>
      <c r="C53" s="27">
        <v>400</v>
      </c>
      <c r="D53" s="25" t="str">
        <f>IF(C53&gt;=200,"5.85",IF(C53&lt;200,"5.95"))</f>
        <v>5.85</v>
      </c>
      <c r="E53" s="11">
        <f t="shared" ref="E52:E70" si="6">INT(C53*D53)</f>
        <v>2340</v>
      </c>
    </row>
    <row r="54" spans="1:5">
      <c r="A54" s="26">
        <v>45935</v>
      </c>
      <c r="B54" s="27" t="s">
        <v>76</v>
      </c>
      <c r="C54" s="27">
        <v>200</v>
      </c>
      <c r="D54" s="25" t="str">
        <f t="shared" ref="D54:D70" si="7">IF(C54&gt;=200,"5.85",IF(C54&lt;200,"5.95"))</f>
        <v>5.85</v>
      </c>
      <c r="E54" s="11">
        <f t="shared" si="6"/>
        <v>1170</v>
      </c>
    </row>
    <row r="55" spans="1:5">
      <c r="A55" s="26">
        <v>45935</v>
      </c>
      <c r="B55" s="27" t="s">
        <v>75</v>
      </c>
      <c r="C55" s="27">
        <v>200</v>
      </c>
      <c r="D55" s="25" t="str">
        <f t="shared" si="7"/>
        <v>5.85</v>
      </c>
      <c r="E55" s="11">
        <f t="shared" si="6"/>
        <v>1170</v>
      </c>
    </row>
    <row r="56" spans="1:5">
      <c r="A56" s="26">
        <v>45935</v>
      </c>
      <c r="B56" s="27" t="s">
        <v>72</v>
      </c>
      <c r="C56" s="27">
        <v>300</v>
      </c>
      <c r="D56" s="25" t="str">
        <f t="shared" si="7"/>
        <v>5.85</v>
      </c>
      <c r="E56" s="11">
        <f t="shared" si="6"/>
        <v>1755</v>
      </c>
    </row>
    <row r="57" spans="1:5">
      <c r="A57" s="26">
        <v>45935</v>
      </c>
      <c r="B57" s="27" t="s">
        <v>71</v>
      </c>
      <c r="C57" s="27">
        <v>233</v>
      </c>
      <c r="D57" s="25" t="str">
        <f t="shared" si="7"/>
        <v>5.85</v>
      </c>
      <c r="E57" s="11">
        <f t="shared" si="6"/>
        <v>1363</v>
      </c>
    </row>
    <row r="58" spans="1:5">
      <c r="A58" s="26">
        <v>45935</v>
      </c>
      <c r="B58" s="27" t="s">
        <v>73</v>
      </c>
      <c r="C58" s="27">
        <v>473</v>
      </c>
      <c r="D58" s="25" t="str">
        <f t="shared" si="7"/>
        <v>5.85</v>
      </c>
      <c r="E58" s="11">
        <f t="shared" si="6"/>
        <v>2767</v>
      </c>
    </row>
    <row r="59" spans="1:5">
      <c r="A59" s="26">
        <v>45935</v>
      </c>
      <c r="B59" s="27" t="s">
        <v>78</v>
      </c>
      <c r="C59" s="27">
        <v>479.17</v>
      </c>
      <c r="D59" s="25" t="str">
        <f t="shared" si="7"/>
        <v>5.85</v>
      </c>
      <c r="E59" s="11">
        <f t="shared" si="6"/>
        <v>2803</v>
      </c>
    </row>
    <row r="60" spans="1:5">
      <c r="A60" s="26">
        <v>45935</v>
      </c>
      <c r="B60" s="27" t="s">
        <v>74</v>
      </c>
      <c r="C60" s="27">
        <v>310</v>
      </c>
      <c r="D60" s="25" t="str">
        <f t="shared" si="7"/>
        <v>5.85</v>
      </c>
      <c r="E60" s="11">
        <f t="shared" si="6"/>
        <v>1813</v>
      </c>
    </row>
    <row r="61" spans="1:5">
      <c r="A61" s="26">
        <v>45937</v>
      </c>
      <c r="B61" s="27" t="s">
        <v>79</v>
      </c>
      <c r="C61" s="27">
        <v>350</v>
      </c>
      <c r="D61" s="25" t="str">
        <f t="shared" si="7"/>
        <v>5.85</v>
      </c>
      <c r="E61" s="11">
        <f t="shared" si="6"/>
        <v>2047</v>
      </c>
    </row>
    <row r="62" spans="1:5">
      <c r="A62" s="26">
        <v>45937</v>
      </c>
      <c r="B62" s="27" t="s">
        <v>73</v>
      </c>
      <c r="C62" s="27">
        <v>240</v>
      </c>
      <c r="D62" s="25" t="str">
        <f t="shared" si="7"/>
        <v>5.85</v>
      </c>
      <c r="E62" s="11">
        <f t="shared" si="6"/>
        <v>1404</v>
      </c>
    </row>
    <row r="63" spans="1:5">
      <c r="A63" s="26">
        <v>45937</v>
      </c>
      <c r="B63" s="27" t="s">
        <v>75</v>
      </c>
      <c r="C63" s="27">
        <v>300</v>
      </c>
      <c r="D63" s="25" t="str">
        <f t="shared" si="7"/>
        <v>5.85</v>
      </c>
      <c r="E63" s="11">
        <f t="shared" si="6"/>
        <v>1755</v>
      </c>
    </row>
    <row r="64" spans="1:5">
      <c r="A64" s="26">
        <v>45937</v>
      </c>
      <c r="B64" s="27" t="s">
        <v>76</v>
      </c>
      <c r="C64" s="27">
        <v>300</v>
      </c>
      <c r="D64" s="25" t="str">
        <f t="shared" si="7"/>
        <v>5.85</v>
      </c>
      <c r="E64" s="11">
        <f t="shared" si="6"/>
        <v>1755</v>
      </c>
    </row>
    <row r="65" spans="1:5">
      <c r="A65" s="26">
        <v>45937</v>
      </c>
      <c r="B65" s="27" t="s">
        <v>77</v>
      </c>
      <c r="C65" s="27">
        <v>315</v>
      </c>
      <c r="D65" s="25" t="str">
        <f t="shared" si="7"/>
        <v>5.85</v>
      </c>
      <c r="E65" s="11">
        <f t="shared" si="6"/>
        <v>1842</v>
      </c>
    </row>
    <row r="66" spans="1:5">
      <c r="A66" s="26">
        <v>45938</v>
      </c>
      <c r="B66" s="27" t="s">
        <v>77</v>
      </c>
      <c r="C66" s="27">
        <v>350</v>
      </c>
      <c r="D66" s="25" t="str">
        <f t="shared" si="7"/>
        <v>5.85</v>
      </c>
      <c r="E66" s="11">
        <f t="shared" si="6"/>
        <v>2047</v>
      </c>
    </row>
    <row r="67" spans="1:5">
      <c r="A67" s="26">
        <v>45938</v>
      </c>
      <c r="B67" s="27" t="s">
        <v>76</v>
      </c>
      <c r="C67" s="27">
        <v>450</v>
      </c>
      <c r="D67" s="25" t="str">
        <f t="shared" si="7"/>
        <v>5.85</v>
      </c>
      <c r="E67" s="11">
        <f t="shared" si="6"/>
        <v>2632</v>
      </c>
    </row>
    <row r="68" spans="1:5">
      <c r="A68" s="26">
        <v>45938</v>
      </c>
      <c r="B68" s="27" t="s">
        <v>75</v>
      </c>
      <c r="C68" s="27">
        <v>205</v>
      </c>
      <c r="D68" s="25" t="str">
        <f t="shared" si="7"/>
        <v>5.85</v>
      </c>
      <c r="E68" s="11">
        <f t="shared" si="6"/>
        <v>1199</v>
      </c>
    </row>
    <row r="69" spans="1:5">
      <c r="A69" s="26">
        <v>45938</v>
      </c>
      <c r="B69" s="27" t="s">
        <v>73</v>
      </c>
      <c r="C69" s="27">
        <v>58.73</v>
      </c>
      <c r="D69" s="25" t="str">
        <f t="shared" si="7"/>
        <v>5.95</v>
      </c>
      <c r="E69" s="11">
        <f t="shared" si="6"/>
        <v>349</v>
      </c>
    </row>
    <row r="70" spans="1:5">
      <c r="A70" s="26">
        <v>45938</v>
      </c>
      <c r="B70" s="27" t="s">
        <v>74</v>
      </c>
      <c r="C70" s="27">
        <v>307</v>
      </c>
      <c r="D70" s="25" t="str">
        <f t="shared" si="7"/>
        <v>5.85</v>
      </c>
      <c r="E70" s="11">
        <f t="shared" si="6"/>
        <v>1795</v>
      </c>
    </row>
    <row r="71" spans="4:6">
      <c r="D71" s="25"/>
      <c r="E71" s="11"/>
      <c r="F71">
        <f>SUM(E53:E70)</f>
        <v>32006</v>
      </c>
    </row>
    <row r="72" spans="1:5">
      <c r="A72" s="26">
        <v>45939</v>
      </c>
      <c r="B72" s="27" t="s">
        <v>74</v>
      </c>
      <c r="C72" s="27">
        <v>369</v>
      </c>
      <c r="D72" s="25">
        <v>5.8</v>
      </c>
      <c r="E72" s="11">
        <f t="shared" ref="E71:E83" si="8">INT(C72*D72)</f>
        <v>2140</v>
      </c>
    </row>
    <row r="73" spans="1:5">
      <c r="A73" s="26">
        <v>45939</v>
      </c>
      <c r="B73" s="27" t="s">
        <v>77</v>
      </c>
      <c r="C73" s="27">
        <v>521.98</v>
      </c>
      <c r="D73" s="25" t="str">
        <f t="shared" ref="D71:D83" si="9">IF(C73&gt;=200,"5.85",IF(C73&lt;200,"5.95"))</f>
        <v>5.85</v>
      </c>
      <c r="E73" s="11">
        <f t="shared" si="8"/>
        <v>3053</v>
      </c>
    </row>
    <row r="74" spans="1:5">
      <c r="A74" s="26">
        <v>45939</v>
      </c>
      <c r="B74" s="27" t="s">
        <v>76</v>
      </c>
      <c r="C74" s="27">
        <v>315</v>
      </c>
      <c r="D74" s="25" t="str">
        <f t="shared" si="9"/>
        <v>5.85</v>
      </c>
      <c r="E74" s="11">
        <f t="shared" si="8"/>
        <v>1842</v>
      </c>
    </row>
    <row r="75" spans="1:5">
      <c r="A75" s="26">
        <v>45939</v>
      </c>
      <c r="B75" s="27" t="s">
        <v>75</v>
      </c>
      <c r="C75" s="27">
        <v>467</v>
      </c>
      <c r="D75" s="25" t="str">
        <f t="shared" si="9"/>
        <v>5.85</v>
      </c>
      <c r="E75" s="11">
        <f t="shared" si="8"/>
        <v>2731</v>
      </c>
    </row>
    <row r="76" spans="1:5">
      <c r="A76" s="26">
        <v>45939</v>
      </c>
      <c r="B76" s="27" t="s">
        <v>73</v>
      </c>
      <c r="C76" s="27">
        <v>200</v>
      </c>
      <c r="D76" s="25" t="str">
        <f t="shared" si="9"/>
        <v>5.85</v>
      </c>
      <c r="E76" s="11">
        <f t="shared" si="8"/>
        <v>1170</v>
      </c>
    </row>
    <row r="77" spans="1:5">
      <c r="A77" s="26">
        <v>45939</v>
      </c>
      <c r="B77" s="27" t="s">
        <v>74</v>
      </c>
      <c r="C77" s="27">
        <v>330</v>
      </c>
      <c r="D77" s="25" t="str">
        <f t="shared" si="9"/>
        <v>5.85</v>
      </c>
      <c r="E77" s="11">
        <f t="shared" si="8"/>
        <v>1930</v>
      </c>
    </row>
    <row r="78" spans="1:5">
      <c r="A78" s="26">
        <v>45940</v>
      </c>
      <c r="B78" s="27" t="s">
        <v>77</v>
      </c>
      <c r="C78" s="27">
        <v>400</v>
      </c>
      <c r="D78" s="25" t="str">
        <f t="shared" si="9"/>
        <v>5.85</v>
      </c>
      <c r="E78" s="11">
        <f t="shared" si="8"/>
        <v>2340</v>
      </c>
    </row>
    <row r="79" spans="1:5">
      <c r="A79" s="26">
        <v>45940</v>
      </c>
      <c r="B79" s="27" t="s">
        <v>74</v>
      </c>
      <c r="C79" s="27">
        <v>200</v>
      </c>
      <c r="D79" s="25" t="str">
        <f t="shared" si="9"/>
        <v>5.85</v>
      </c>
      <c r="E79" s="11">
        <f t="shared" si="8"/>
        <v>1170</v>
      </c>
    </row>
    <row r="80" spans="1:5">
      <c r="A80" s="26">
        <v>45940</v>
      </c>
      <c r="B80" s="27" t="s">
        <v>73</v>
      </c>
      <c r="C80" s="27">
        <v>205.14</v>
      </c>
      <c r="D80" s="25" t="str">
        <f t="shared" si="9"/>
        <v>5.85</v>
      </c>
      <c r="E80" s="11">
        <f t="shared" si="8"/>
        <v>1200</v>
      </c>
    </row>
    <row r="81" spans="1:5">
      <c r="A81" s="26">
        <v>45940</v>
      </c>
      <c r="B81" s="27" t="s">
        <v>75</v>
      </c>
      <c r="C81" s="27">
        <v>300</v>
      </c>
      <c r="D81" s="25" t="str">
        <f t="shared" si="9"/>
        <v>5.85</v>
      </c>
      <c r="E81" s="11">
        <f t="shared" si="8"/>
        <v>1755</v>
      </c>
    </row>
    <row r="82" spans="1:5">
      <c r="A82" s="26">
        <v>45940</v>
      </c>
      <c r="B82" s="27" t="s">
        <v>76</v>
      </c>
      <c r="C82" s="27">
        <v>200</v>
      </c>
      <c r="D82" s="25" t="str">
        <f t="shared" si="9"/>
        <v>5.85</v>
      </c>
      <c r="E82" s="11">
        <f t="shared" si="8"/>
        <v>1170</v>
      </c>
    </row>
    <row r="83" spans="1:5">
      <c r="A83" s="26">
        <v>45940</v>
      </c>
      <c r="B83" s="27" t="s">
        <v>77</v>
      </c>
      <c r="C83" s="27">
        <v>206.86</v>
      </c>
      <c r="D83" s="25" t="str">
        <f t="shared" si="9"/>
        <v>5.85</v>
      </c>
      <c r="E83" s="11">
        <f t="shared" si="8"/>
        <v>1210</v>
      </c>
    </row>
    <row r="84" spans="4:6">
      <c r="D84" s="25"/>
      <c r="E84" s="11">
        <f t="shared" ref="E84:E105" si="10">INT(C84*D84)</f>
        <v>0</v>
      </c>
      <c r="F84">
        <f>SUM(E72:E83)</f>
        <v>21711</v>
      </c>
    </row>
    <row r="85" spans="1:5">
      <c r="A85" s="26">
        <v>45941</v>
      </c>
      <c r="B85" s="27" t="s">
        <v>75</v>
      </c>
      <c r="C85" s="27">
        <v>350</v>
      </c>
      <c r="D85" s="25" t="str">
        <f>IF(C85&gt;=200,"5.75",IF(C85&lt;200,"5.95"))</f>
        <v>5.75</v>
      </c>
      <c r="E85" s="11">
        <f t="shared" si="10"/>
        <v>2012</v>
      </c>
    </row>
    <row r="86" spans="1:5">
      <c r="A86" s="26">
        <v>45941</v>
      </c>
      <c r="B86" s="27" t="s">
        <v>73</v>
      </c>
      <c r="C86" s="27">
        <v>180</v>
      </c>
      <c r="D86" s="25" t="str">
        <f t="shared" ref="D86:D105" si="11">IF(C86&gt;=200,"5.75",IF(C86&lt;200,"5.95"))</f>
        <v>5.95</v>
      </c>
      <c r="E86" s="11">
        <f t="shared" si="10"/>
        <v>1071</v>
      </c>
    </row>
    <row r="87" spans="1:5">
      <c r="A87" s="26">
        <v>45941</v>
      </c>
      <c r="B87" s="27" t="s">
        <v>74</v>
      </c>
      <c r="C87" s="27">
        <v>300</v>
      </c>
      <c r="D87" s="25" t="str">
        <f t="shared" si="11"/>
        <v>5.75</v>
      </c>
      <c r="E87" s="11">
        <f t="shared" si="10"/>
        <v>1725</v>
      </c>
    </row>
    <row r="88" spans="1:5">
      <c r="A88" s="26">
        <v>45941</v>
      </c>
      <c r="B88" s="27" t="s">
        <v>77</v>
      </c>
      <c r="C88" s="27">
        <v>450</v>
      </c>
      <c r="D88" s="25" t="str">
        <f t="shared" si="11"/>
        <v>5.75</v>
      </c>
      <c r="E88" s="11">
        <f t="shared" si="10"/>
        <v>2587</v>
      </c>
    </row>
    <row r="89" spans="1:5">
      <c r="A89" s="26">
        <v>45941</v>
      </c>
      <c r="B89" s="27" t="s">
        <v>75</v>
      </c>
      <c r="C89" s="27">
        <v>450</v>
      </c>
      <c r="D89" s="25" t="str">
        <f t="shared" si="11"/>
        <v>5.75</v>
      </c>
      <c r="E89" s="11">
        <f t="shared" si="10"/>
        <v>2587</v>
      </c>
    </row>
    <row r="90" spans="1:5">
      <c r="A90" s="26">
        <v>45941</v>
      </c>
      <c r="B90" s="27" t="s">
        <v>76</v>
      </c>
      <c r="C90" s="27">
        <v>300</v>
      </c>
      <c r="D90" s="25" t="str">
        <f t="shared" si="11"/>
        <v>5.75</v>
      </c>
      <c r="E90" s="11">
        <f t="shared" si="10"/>
        <v>1725</v>
      </c>
    </row>
    <row r="91" spans="1:5">
      <c r="A91" s="26">
        <v>45941</v>
      </c>
      <c r="B91" s="27" t="s">
        <v>73</v>
      </c>
      <c r="C91" s="27">
        <v>390.01</v>
      </c>
      <c r="D91" s="25" t="str">
        <f t="shared" si="11"/>
        <v>5.75</v>
      </c>
      <c r="E91" s="11">
        <f t="shared" si="10"/>
        <v>2242</v>
      </c>
    </row>
    <row r="92" spans="1:5">
      <c r="A92" s="26">
        <v>45941</v>
      </c>
      <c r="B92" s="27" t="s">
        <v>74</v>
      </c>
      <c r="C92" s="27">
        <v>593.03</v>
      </c>
      <c r="D92" s="25" t="str">
        <f t="shared" si="11"/>
        <v>5.75</v>
      </c>
      <c r="E92" s="11">
        <f t="shared" si="10"/>
        <v>3409</v>
      </c>
    </row>
    <row r="93" spans="1:5">
      <c r="A93" s="26">
        <v>45942</v>
      </c>
      <c r="B93" s="27" t="s">
        <v>77</v>
      </c>
      <c r="C93" s="27">
        <v>350</v>
      </c>
      <c r="D93" s="25" t="str">
        <f t="shared" si="11"/>
        <v>5.75</v>
      </c>
      <c r="E93" s="11">
        <f t="shared" si="10"/>
        <v>2012</v>
      </c>
    </row>
    <row r="94" spans="1:5">
      <c r="A94" s="26">
        <v>45942</v>
      </c>
      <c r="B94" s="27" t="s">
        <v>74</v>
      </c>
      <c r="C94" s="27">
        <v>300</v>
      </c>
      <c r="D94" s="25" t="str">
        <f t="shared" si="11"/>
        <v>5.75</v>
      </c>
      <c r="E94" s="11">
        <f t="shared" si="10"/>
        <v>1725</v>
      </c>
    </row>
    <row r="95" spans="1:5">
      <c r="A95" s="26">
        <v>45942</v>
      </c>
      <c r="B95" s="27" t="s">
        <v>73</v>
      </c>
      <c r="C95" s="27">
        <v>400</v>
      </c>
      <c r="D95" s="25" t="str">
        <f t="shared" si="11"/>
        <v>5.75</v>
      </c>
      <c r="E95" s="11">
        <f t="shared" si="10"/>
        <v>2300</v>
      </c>
    </row>
    <row r="96" spans="1:5">
      <c r="A96" s="26">
        <v>45942</v>
      </c>
      <c r="B96" s="27" t="s">
        <v>75</v>
      </c>
      <c r="C96" s="27">
        <v>200</v>
      </c>
      <c r="D96" s="25" t="str">
        <f t="shared" si="11"/>
        <v>5.75</v>
      </c>
      <c r="E96" s="11">
        <f t="shared" si="10"/>
        <v>1150</v>
      </c>
    </row>
    <row r="97" spans="1:5">
      <c r="A97" s="26">
        <v>45942</v>
      </c>
      <c r="B97" s="27" t="s">
        <v>76</v>
      </c>
      <c r="C97" s="27">
        <v>295.86</v>
      </c>
      <c r="D97" s="25" t="str">
        <f t="shared" si="11"/>
        <v>5.75</v>
      </c>
      <c r="E97" s="11">
        <f t="shared" si="10"/>
        <v>1701</v>
      </c>
    </row>
    <row r="98" spans="1:5">
      <c r="A98" s="26">
        <v>45942</v>
      </c>
      <c r="B98" s="27" t="s">
        <v>77</v>
      </c>
      <c r="C98" s="27">
        <v>300</v>
      </c>
      <c r="D98" s="25" t="str">
        <f t="shared" si="11"/>
        <v>5.75</v>
      </c>
      <c r="E98" s="11">
        <f t="shared" si="10"/>
        <v>1725</v>
      </c>
    </row>
    <row r="99" spans="1:5">
      <c r="A99" s="26">
        <v>45943</v>
      </c>
      <c r="B99" s="27" t="s">
        <v>73</v>
      </c>
      <c r="C99" s="27">
        <v>400</v>
      </c>
      <c r="D99" s="25" t="str">
        <f t="shared" si="11"/>
        <v>5.75</v>
      </c>
      <c r="E99" s="11">
        <f t="shared" si="10"/>
        <v>2300</v>
      </c>
    </row>
    <row r="100" spans="1:5">
      <c r="A100" s="26">
        <v>45943</v>
      </c>
      <c r="B100" s="27" t="s">
        <v>74</v>
      </c>
      <c r="C100" s="27">
        <v>238.29</v>
      </c>
      <c r="D100" s="25" t="str">
        <f t="shared" si="11"/>
        <v>5.75</v>
      </c>
      <c r="E100" s="11">
        <f t="shared" si="10"/>
        <v>1370</v>
      </c>
    </row>
    <row r="101" spans="1:5">
      <c r="A101" s="26">
        <v>45943</v>
      </c>
      <c r="B101" s="27" t="s">
        <v>77</v>
      </c>
      <c r="C101" s="27">
        <v>400</v>
      </c>
      <c r="D101" s="25" t="str">
        <f t="shared" si="11"/>
        <v>5.75</v>
      </c>
      <c r="E101" s="11">
        <f t="shared" si="10"/>
        <v>2300</v>
      </c>
    </row>
    <row r="102" spans="1:5">
      <c r="A102" s="26">
        <v>45943</v>
      </c>
      <c r="B102" s="27" t="s">
        <v>76</v>
      </c>
      <c r="C102" s="27">
        <v>200</v>
      </c>
      <c r="D102" s="25" t="str">
        <f t="shared" si="11"/>
        <v>5.75</v>
      </c>
      <c r="E102" s="11">
        <f t="shared" si="10"/>
        <v>1150</v>
      </c>
    </row>
    <row r="103" spans="1:5">
      <c r="A103" s="26">
        <v>45943</v>
      </c>
      <c r="B103" s="27" t="s">
        <v>75</v>
      </c>
      <c r="C103" s="27">
        <v>230</v>
      </c>
      <c r="D103" s="25" t="str">
        <f t="shared" si="11"/>
        <v>5.75</v>
      </c>
      <c r="E103" s="11">
        <f t="shared" si="10"/>
        <v>1322</v>
      </c>
    </row>
    <row r="104" spans="1:5">
      <c r="A104" s="26">
        <v>45943</v>
      </c>
      <c r="B104" s="27" t="s">
        <v>73</v>
      </c>
      <c r="C104" s="27">
        <v>211.37</v>
      </c>
      <c r="D104" s="25" t="str">
        <f t="shared" si="11"/>
        <v>5.75</v>
      </c>
      <c r="E104" s="11">
        <f t="shared" si="10"/>
        <v>1215</v>
      </c>
    </row>
    <row r="105" spans="1:5">
      <c r="A105" s="26">
        <v>45943</v>
      </c>
      <c r="B105" s="27" t="s">
        <v>74</v>
      </c>
      <c r="C105" s="27">
        <v>208</v>
      </c>
      <c r="D105" s="25" t="str">
        <f t="shared" si="11"/>
        <v>5.75</v>
      </c>
      <c r="E105" s="11">
        <f t="shared" si="10"/>
        <v>1196</v>
      </c>
    </row>
    <row r="106" spans="5:5">
      <c r="E106">
        <f>SUM(E85:E105)</f>
        <v>38824</v>
      </c>
    </row>
  </sheetData>
  <mergeCells count="1">
    <mergeCell ref="B1:D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topLeftCell="A39" workbookViewId="0">
      <selection activeCell="K59" sqref="K59"/>
    </sheetView>
  </sheetViews>
  <sheetFormatPr defaultColWidth="9" defaultRowHeight="14.25"/>
  <cols>
    <col min="1" max="1" width="9.86666666666667"/>
    <col min="2" max="2" width="11.8666666666667" customWidth="1"/>
  </cols>
  <sheetData>
    <row r="1" ht="20.25" spans="1:7">
      <c r="A1" s="1" t="s">
        <v>0</v>
      </c>
      <c r="B1" s="2" t="s">
        <v>80</v>
      </c>
      <c r="C1" s="3"/>
      <c r="D1" s="4"/>
      <c r="E1" s="6" t="s">
        <v>81</v>
      </c>
      <c r="F1" s="6"/>
      <c r="G1" s="33"/>
    </row>
    <row r="2" spans="1:13">
      <c r="A2" s="11" t="s">
        <v>82</v>
      </c>
      <c r="B2" s="11" t="s">
        <v>83</v>
      </c>
      <c r="C2" s="36" t="s">
        <v>84</v>
      </c>
      <c r="D2" s="34" t="s">
        <v>85</v>
      </c>
      <c r="E2" s="11" t="s">
        <v>86</v>
      </c>
      <c r="F2" s="10"/>
      <c r="G2" s="11"/>
      <c r="M2" t="str" cm="1">
        <f t="array" ref="M2:M16">_xlfn.TOCOL(A2:E4)</f>
        <v>皖CA6828</v>
      </c>
    </row>
    <row r="3" spans="1:13">
      <c r="A3" s="31" t="s">
        <v>87</v>
      </c>
      <c r="B3" s="11" t="s">
        <v>88</v>
      </c>
      <c r="C3" s="11" t="s">
        <v>89</v>
      </c>
      <c r="D3" s="14" t="s">
        <v>90</v>
      </c>
      <c r="E3" s="14" t="s">
        <v>91</v>
      </c>
      <c r="F3" s="14"/>
      <c r="G3" s="14"/>
      <c r="M3" t="str">
        <v>皖KR2719</v>
      </c>
    </row>
    <row r="4" spans="1:13">
      <c r="A4" s="29" t="s">
        <v>92</v>
      </c>
      <c r="B4" s="14" t="s">
        <v>93</v>
      </c>
      <c r="C4" s="30" t="s">
        <v>94</v>
      </c>
      <c r="D4" s="14" t="s">
        <v>95</v>
      </c>
      <c r="E4" s="14" t="s">
        <v>96</v>
      </c>
      <c r="F4" s="14"/>
      <c r="G4" s="14"/>
      <c r="M4" t="str">
        <v>皖KQ8650</v>
      </c>
    </row>
    <row r="5" spans="1:13">
      <c r="A5" s="29"/>
      <c r="B5" s="14"/>
      <c r="C5" s="30"/>
      <c r="D5" s="14"/>
      <c r="E5" s="14"/>
      <c r="F5" s="14"/>
      <c r="G5" s="14"/>
      <c r="M5" t="str">
        <v>皖CC5848</v>
      </c>
    </row>
    <row r="6" spans="1:13">
      <c r="A6" s="29"/>
      <c r="B6" s="14"/>
      <c r="C6" s="30"/>
      <c r="D6" s="14"/>
      <c r="E6" s="14"/>
      <c r="F6" s="14"/>
      <c r="G6" s="14"/>
      <c r="M6" t="str">
        <v>皖CA0002</v>
      </c>
    </row>
    <row r="7" spans="1:13">
      <c r="A7" s="29"/>
      <c r="B7" s="14"/>
      <c r="C7" s="30"/>
      <c r="D7" s="14"/>
      <c r="E7" s="14"/>
      <c r="F7" s="14"/>
      <c r="G7" s="14"/>
      <c r="M7" t="str">
        <v>鲁AK0108</v>
      </c>
    </row>
    <row r="8" spans="1:13">
      <c r="A8" s="29"/>
      <c r="B8" s="14"/>
      <c r="C8" s="30"/>
      <c r="D8" s="14"/>
      <c r="E8" s="14"/>
      <c r="F8" s="14"/>
      <c r="G8" s="14"/>
      <c r="M8" t="str">
        <v>皖CF9428</v>
      </c>
    </row>
    <row r="9" spans="1:13">
      <c r="A9" s="29"/>
      <c r="B9" s="14"/>
      <c r="C9" s="30"/>
      <c r="D9" s="14"/>
      <c r="E9" s="14"/>
      <c r="F9" s="14"/>
      <c r="G9" s="14"/>
      <c r="M9" t="str">
        <v>鲁AV2386</v>
      </c>
    </row>
    <row r="10" spans="13:13">
      <c r="M10" t="str">
        <v>皖CF9782</v>
      </c>
    </row>
    <row r="11" spans="1:13">
      <c r="A11" s="20" t="s">
        <v>19</v>
      </c>
      <c r="B11" s="21" t="s">
        <v>20</v>
      </c>
      <c r="C11" s="22" t="s">
        <v>21</v>
      </c>
      <c r="D11" s="21" t="s">
        <v>22</v>
      </c>
      <c r="E11" s="21" t="s">
        <v>23</v>
      </c>
      <c r="F11" s="21" t="s">
        <v>24</v>
      </c>
      <c r="G11" s="21" t="s">
        <v>25</v>
      </c>
      <c r="M11" t="str">
        <v>皖CF6438</v>
      </c>
    </row>
    <row r="12" spans="1:13">
      <c r="A12" s="23">
        <v>45923</v>
      </c>
      <c r="B12" s="24" t="s">
        <v>97</v>
      </c>
      <c r="C12" s="11">
        <v>230.03</v>
      </c>
      <c r="D12" s="13" t="str">
        <f>IF(C12&gt;=200,"5.7",IF(C12&lt;200,"5.85"))</f>
        <v>5.7</v>
      </c>
      <c r="E12" s="11">
        <f t="shared" ref="E12:E14" si="0">INT(C12*D12)</f>
        <v>1311</v>
      </c>
      <c r="F12" s="13"/>
      <c r="G12" s="13"/>
      <c r="M12" t="str">
        <v>皖CF2642</v>
      </c>
    </row>
    <row r="13" spans="1:13">
      <c r="A13" s="23">
        <v>45924</v>
      </c>
      <c r="B13" s="24" t="s">
        <v>98</v>
      </c>
      <c r="C13" s="24">
        <v>358</v>
      </c>
      <c r="D13" s="13" t="str">
        <f t="shared" ref="D13:D21" si="1">IF(C13&gt;=200,"5.7",IF(C13&lt;200,"5.85"))</f>
        <v>5.7</v>
      </c>
      <c r="E13" s="11">
        <f t="shared" si="0"/>
        <v>2040</v>
      </c>
      <c r="F13" s="13"/>
      <c r="G13" s="13"/>
      <c r="M13" t="str">
        <v>皖CF8759</v>
      </c>
    </row>
    <row r="14" spans="1:13">
      <c r="A14" s="23">
        <v>45925</v>
      </c>
      <c r="B14" s="24" t="s">
        <v>99</v>
      </c>
      <c r="C14" s="24">
        <v>238</v>
      </c>
      <c r="D14" s="13" t="str">
        <f t="shared" si="1"/>
        <v>5.7</v>
      </c>
      <c r="E14" s="11">
        <f t="shared" si="0"/>
        <v>1356</v>
      </c>
      <c r="F14" s="13"/>
      <c r="G14" s="13"/>
      <c r="M14" t="str">
        <v>皖CF9312</v>
      </c>
    </row>
    <row r="15" spans="1:13">
      <c r="A15" s="26">
        <v>45926</v>
      </c>
      <c r="B15" s="27" t="s">
        <v>100</v>
      </c>
      <c r="C15" s="27">
        <v>304.38</v>
      </c>
      <c r="D15" s="13" t="str">
        <f t="shared" si="1"/>
        <v>5.7</v>
      </c>
      <c r="E15" s="11">
        <f t="shared" ref="E15:E25" si="2">INT(C15*D15)</f>
        <v>1734</v>
      </c>
      <c r="F15" s="13"/>
      <c r="G15" s="13"/>
      <c r="M15" t="str">
        <v>皖CF8571</v>
      </c>
    </row>
    <row r="16" spans="1:13">
      <c r="A16" s="26">
        <v>45926</v>
      </c>
      <c r="B16" s="27" t="s">
        <v>101</v>
      </c>
      <c r="C16" s="27">
        <v>300</v>
      </c>
      <c r="D16" s="13" t="str">
        <f t="shared" si="1"/>
        <v>5.7</v>
      </c>
      <c r="E16" s="11">
        <f t="shared" si="2"/>
        <v>1710</v>
      </c>
      <c r="F16" s="13"/>
      <c r="G16" s="13"/>
      <c r="M16" t="str">
        <v>皖CF8810</v>
      </c>
    </row>
    <row r="17" spans="1:7">
      <c r="A17" s="26">
        <v>45927</v>
      </c>
      <c r="B17" s="27" t="s">
        <v>102</v>
      </c>
      <c r="C17" s="27">
        <v>78.82</v>
      </c>
      <c r="D17" s="13" t="str">
        <f t="shared" si="1"/>
        <v>5.85</v>
      </c>
      <c r="E17" s="11">
        <f t="shared" si="2"/>
        <v>461</v>
      </c>
      <c r="F17" s="13"/>
      <c r="G17" s="13"/>
    </row>
    <row r="18" spans="1:7">
      <c r="A18" s="26">
        <v>45927</v>
      </c>
      <c r="B18" s="27" t="s">
        <v>103</v>
      </c>
      <c r="C18" s="27">
        <v>425</v>
      </c>
      <c r="D18" s="13" t="str">
        <f t="shared" si="1"/>
        <v>5.7</v>
      </c>
      <c r="E18" s="11">
        <f t="shared" si="2"/>
        <v>2422</v>
      </c>
      <c r="F18" s="13"/>
      <c r="G18" s="13"/>
    </row>
    <row r="19" spans="1:7">
      <c r="A19" s="26">
        <v>45927</v>
      </c>
      <c r="B19" s="27" t="s">
        <v>104</v>
      </c>
      <c r="C19" s="27">
        <v>700</v>
      </c>
      <c r="D19" s="13" t="str">
        <f t="shared" si="1"/>
        <v>5.7</v>
      </c>
      <c r="E19" s="11">
        <f t="shared" si="2"/>
        <v>3990</v>
      </c>
      <c r="F19" s="13"/>
      <c r="G19" s="13"/>
    </row>
    <row r="20" spans="1:7">
      <c r="A20" s="26">
        <v>45927</v>
      </c>
      <c r="B20" s="27" t="s">
        <v>105</v>
      </c>
      <c r="C20" s="27">
        <v>230</v>
      </c>
      <c r="D20" s="13" t="str">
        <f t="shared" si="1"/>
        <v>5.7</v>
      </c>
      <c r="E20" s="11">
        <f t="shared" si="2"/>
        <v>1311</v>
      </c>
      <c r="F20" s="13"/>
      <c r="G20" s="13"/>
    </row>
    <row r="21" spans="1:7">
      <c r="A21" s="26">
        <v>45927</v>
      </c>
      <c r="B21" s="27" t="s">
        <v>106</v>
      </c>
      <c r="C21" s="27">
        <v>620.01</v>
      </c>
      <c r="D21" s="13" t="str">
        <f t="shared" si="1"/>
        <v>5.7</v>
      </c>
      <c r="E21" s="11">
        <f t="shared" si="2"/>
        <v>3534</v>
      </c>
      <c r="F21" s="13"/>
      <c r="G21" s="13"/>
    </row>
    <row r="22" spans="1:7">
      <c r="A22" s="26">
        <v>45928</v>
      </c>
      <c r="B22" s="27" t="s">
        <v>100</v>
      </c>
      <c r="C22" s="27">
        <v>420.01</v>
      </c>
      <c r="D22" s="13" t="str">
        <f>IF(C22&gt;=200,"5.8",IF(C22&lt;200,"5.85"))</f>
        <v>5.8</v>
      </c>
      <c r="E22" s="11">
        <f t="shared" si="2"/>
        <v>2436</v>
      </c>
      <c r="F22" s="13"/>
      <c r="G22" s="13"/>
    </row>
    <row r="23" spans="1:7">
      <c r="A23" s="26">
        <v>45928</v>
      </c>
      <c r="B23" s="27" t="s">
        <v>99</v>
      </c>
      <c r="C23" s="27">
        <v>300</v>
      </c>
      <c r="D23" s="13" t="str">
        <f>IF(C23&gt;=200,"5.8",IF(C23&lt;200,"5.85"))</f>
        <v>5.8</v>
      </c>
      <c r="E23" s="11">
        <f t="shared" si="2"/>
        <v>1740</v>
      </c>
      <c r="F23" s="13"/>
      <c r="G23" s="13"/>
    </row>
    <row r="24" spans="1:7">
      <c r="A24" s="26">
        <v>45928</v>
      </c>
      <c r="B24" s="27" t="s">
        <v>98</v>
      </c>
      <c r="C24" s="27">
        <v>210.01</v>
      </c>
      <c r="D24" s="13" t="str">
        <f>IF(C24&gt;=200,"5.8",IF(C24&lt;200,"5.85"))</f>
        <v>5.8</v>
      </c>
      <c r="E24" s="11">
        <f t="shared" si="2"/>
        <v>1218</v>
      </c>
      <c r="F24" s="13"/>
      <c r="G24" s="13"/>
    </row>
    <row r="25" s="35" customFormat="1" spans="1:7">
      <c r="A25" s="37">
        <v>45928</v>
      </c>
      <c r="B25" s="38" t="s">
        <v>97</v>
      </c>
      <c r="C25" s="38">
        <v>197.52</v>
      </c>
      <c r="D25" s="46" t="str">
        <f>IF(C25&gt;=200,"5.8",IF(C25&lt;200,"5.85"))</f>
        <v>5.85</v>
      </c>
      <c r="E25" s="39">
        <f t="shared" si="2"/>
        <v>1155</v>
      </c>
      <c r="F25" s="46"/>
      <c r="G25" s="46"/>
    </row>
    <row r="26" s="45" customFormat="1" spans="1:7">
      <c r="A26" s="26"/>
      <c r="B26" s="27"/>
      <c r="C26" s="27"/>
      <c r="D26" s="47"/>
      <c r="E26" s="48"/>
      <c r="F26" s="47"/>
      <c r="G26" s="47"/>
    </row>
    <row r="27" spans="1:7">
      <c r="A27" s="26">
        <v>45929</v>
      </c>
      <c r="B27" s="27" t="s">
        <v>105</v>
      </c>
      <c r="C27" s="27">
        <v>708</v>
      </c>
      <c r="D27" s="13">
        <v>5.85</v>
      </c>
      <c r="E27" s="11">
        <f t="shared" ref="E27:E35" si="3">INT(C27*D27)</f>
        <v>4141</v>
      </c>
      <c r="F27" s="13"/>
      <c r="G27" s="49" t="s">
        <v>107</v>
      </c>
    </row>
    <row r="28" spans="1:7">
      <c r="A28" s="26">
        <v>45929</v>
      </c>
      <c r="B28" s="27" t="s">
        <v>106</v>
      </c>
      <c r="C28" s="27">
        <v>343.01</v>
      </c>
      <c r="D28" s="13">
        <v>5.85</v>
      </c>
      <c r="E28" s="11">
        <f t="shared" si="3"/>
        <v>2006</v>
      </c>
      <c r="F28" s="13"/>
      <c r="G28" s="49" t="s">
        <v>108</v>
      </c>
    </row>
    <row r="29" spans="1:7">
      <c r="A29" s="26">
        <v>45929</v>
      </c>
      <c r="B29" s="27" t="s">
        <v>101</v>
      </c>
      <c r="C29" s="27">
        <v>223.83</v>
      </c>
      <c r="D29" s="13" t="str">
        <f t="shared" ref="D29:D30" si="4">IF(C29&gt;=200,"5.8",IF(C29&lt;200,"5.85"))</f>
        <v>5.8</v>
      </c>
      <c r="E29" s="11">
        <f t="shared" si="3"/>
        <v>1298</v>
      </c>
      <c r="F29" s="13"/>
      <c r="G29" s="49"/>
    </row>
    <row r="30" spans="1:7">
      <c r="A30" s="26">
        <v>45929</v>
      </c>
      <c r="B30" s="27" t="s">
        <v>100</v>
      </c>
      <c r="C30" s="27">
        <v>227</v>
      </c>
      <c r="D30" s="13" t="str">
        <f t="shared" si="4"/>
        <v>5.8</v>
      </c>
      <c r="E30" s="11">
        <f t="shared" si="3"/>
        <v>1316</v>
      </c>
      <c r="F30" s="13"/>
      <c r="G30" s="49"/>
    </row>
    <row r="31" spans="1:7">
      <c r="A31" s="26">
        <v>45930</v>
      </c>
      <c r="B31" s="27" t="s">
        <v>103</v>
      </c>
      <c r="C31" s="27">
        <v>310</v>
      </c>
      <c r="D31" s="13">
        <v>5.85</v>
      </c>
      <c r="E31" s="11">
        <f t="shared" si="3"/>
        <v>1813</v>
      </c>
      <c r="F31" s="11"/>
      <c r="G31" s="49" t="s">
        <v>107</v>
      </c>
    </row>
    <row r="32" spans="1:7">
      <c r="A32" s="26">
        <v>45930</v>
      </c>
      <c r="B32" s="27" t="s">
        <v>109</v>
      </c>
      <c r="C32" s="27">
        <v>340.03</v>
      </c>
      <c r="D32" s="13">
        <v>5.85</v>
      </c>
      <c r="E32" s="11">
        <f t="shared" si="3"/>
        <v>1989</v>
      </c>
      <c r="F32" s="11"/>
      <c r="G32" s="49" t="s">
        <v>110</v>
      </c>
    </row>
    <row r="33" spans="1:7">
      <c r="A33" s="26">
        <v>45930</v>
      </c>
      <c r="B33" s="27" t="s">
        <v>111</v>
      </c>
      <c r="C33" s="27">
        <v>400</v>
      </c>
      <c r="D33" s="13">
        <v>5.85</v>
      </c>
      <c r="E33" s="11">
        <f t="shared" si="3"/>
        <v>2340</v>
      </c>
      <c r="F33" s="11"/>
      <c r="G33" s="49" t="s">
        <v>107</v>
      </c>
    </row>
    <row r="34" spans="1:7">
      <c r="A34" s="26">
        <v>45930</v>
      </c>
      <c r="B34" s="27" t="s">
        <v>104</v>
      </c>
      <c r="C34" s="27">
        <v>690</v>
      </c>
      <c r="D34" s="13">
        <v>5.85</v>
      </c>
      <c r="E34" s="11">
        <f t="shared" si="3"/>
        <v>4036</v>
      </c>
      <c r="F34" s="11"/>
      <c r="G34" s="11" t="s">
        <v>108</v>
      </c>
    </row>
    <row r="35" spans="1:7">
      <c r="A35" s="26">
        <v>45931</v>
      </c>
      <c r="B35" s="27" t="s">
        <v>100</v>
      </c>
      <c r="C35" s="27">
        <v>618.63</v>
      </c>
      <c r="D35" s="13">
        <v>5.85</v>
      </c>
      <c r="E35" s="11">
        <f t="shared" si="3"/>
        <v>3618</v>
      </c>
      <c r="F35" s="11"/>
      <c r="G35" s="11" t="s">
        <v>110</v>
      </c>
    </row>
    <row r="36" spans="1:7">
      <c r="A36" s="11"/>
      <c r="B36" s="11"/>
      <c r="C36" s="11"/>
      <c r="D36" s="11"/>
      <c r="E36" s="11"/>
      <c r="F36" s="11"/>
      <c r="G36" s="11"/>
    </row>
    <row r="37" spans="1:7">
      <c r="A37" s="26">
        <v>45933</v>
      </c>
      <c r="B37" s="27" t="s">
        <v>102</v>
      </c>
      <c r="C37" s="27">
        <v>200</v>
      </c>
      <c r="D37" s="25" t="str">
        <f t="shared" ref="D37:D42" si="5">IF(C37&gt;=200,"5.8",IF(C37&lt;200,"5.85"))</f>
        <v>5.8</v>
      </c>
      <c r="E37" s="11">
        <f t="shared" ref="E36:E42" si="6">INT(C37*D37)</f>
        <v>1160</v>
      </c>
      <c r="F37" s="11"/>
      <c r="G37" s="11"/>
    </row>
    <row r="38" spans="1:7">
      <c r="A38" s="26">
        <v>45933</v>
      </c>
      <c r="B38" s="27" t="s">
        <v>103</v>
      </c>
      <c r="C38" s="27">
        <v>635.21</v>
      </c>
      <c r="D38" s="25" t="str">
        <f t="shared" si="5"/>
        <v>5.8</v>
      </c>
      <c r="E38" s="11">
        <f t="shared" si="6"/>
        <v>3684</v>
      </c>
      <c r="F38" s="11"/>
      <c r="G38" s="11"/>
    </row>
    <row r="39" spans="1:7">
      <c r="A39" s="26">
        <v>45933</v>
      </c>
      <c r="B39" s="27" t="s">
        <v>104</v>
      </c>
      <c r="C39" s="27">
        <v>640.15</v>
      </c>
      <c r="D39" s="25" t="str">
        <f t="shared" si="5"/>
        <v>5.8</v>
      </c>
      <c r="E39" s="11">
        <f t="shared" si="6"/>
        <v>3712</v>
      </c>
      <c r="F39" s="11"/>
      <c r="G39" s="11"/>
    </row>
    <row r="40" spans="1:7">
      <c r="A40" s="26">
        <v>45933</v>
      </c>
      <c r="B40" s="27" t="s">
        <v>105</v>
      </c>
      <c r="C40" s="27">
        <v>150.01</v>
      </c>
      <c r="D40" s="25" t="str">
        <f t="shared" si="5"/>
        <v>5.85</v>
      </c>
      <c r="E40" s="11">
        <f t="shared" si="6"/>
        <v>877</v>
      </c>
      <c r="F40" s="11"/>
      <c r="G40" s="11"/>
    </row>
    <row r="41" spans="1:7">
      <c r="A41" s="26">
        <v>45933</v>
      </c>
      <c r="B41" s="27" t="s">
        <v>106</v>
      </c>
      <c r="C41" s="27">
        <v>400</v>
      </c>
      <c r="D41" s="25" t="str">
        <f t="shared" si="5"/>
        <v>5.8</v>
      </c>
      <c r="E41" s="11">
        <f t="shared" si="6"/>
        <v>2320</v>
      </c>
      <c r="F41" s="11"/>
      <c r="G41" s="11"/>
    </row>
    <row r="42" spans="1:7">
      <c r="A42" s="26">
        <v>45934</v>
      </c>
      <c r="B42" s="27" t="s">
        <v>109</v>
      </c>
      <c r="C42" s="27">
        <v>223.01</v>
      </c>
      <c r="D42" s="25" t="str">
        <f t="shared" si="5"/>
        <v>5.8</v>
      </c>
      <c r="E42" s="11">
        <f t="shared" si="6"/>
        <v>1293</v>
      </c>
      <c r="F42" s="11"/>
      <c r="G42" s="11"/>
    </row>
    <row r="43" spans="4:5">
      <c r="D43" s="25"/>
      <c r="E43" s="11"/>
    </row>
    <row r="44" spans="1:5">
      <c r="A44" s="26">
        <v>45935</v>
      </c>
      <c r="B44" s="27" t="s">
        <v>98</v>
      </c>
      <c r="C44" s="27">
        <v>280.03</v>
      </c>
      <c r="D44" s="25" t="str">
        <f t="shared" ref="D43:D50" si="7">IF(C44&gt;=200,"5.8",IF(C44&lt;200,"5.85"))</f>
        <v>5.8</v>
      </c>
      <c r="E44" s="11">
        <f t="shared" ref="E43:E50" si="8">INT(C44*D44)</f>
        <v>1624</v>
      </c>
    </row>
    <row r="45" spans="1:5">
      <c r="A45" s="26">
        <v>45935</v>
      </c>
      <c r="B45" s="27" t="s">
        <v>97</v>
      </c>
      <c r="C45" s="27">
        <v>400</v>
      </c>
      <c r="D45" s="25" t="str">
        <f t="shared" si="7"/>
        <v>5.8</v>
      </c>
      <c r="E45" s="11">
        <f t="shared" si="8"/>
        <v>2320</v>
      </c>
    </row>
    <row r="46" spans="1:5">
      <c r="A46" s="26">
        <v>45936</v>
      </c>
      <c r="B46" s="27" t="s">
        <v>99</v>
      </c>
      <c r="C46" s="27">
        <v>180.01</v>
      </c>
      <c r="D46" s="25" t="str">
        <f t="shared" si="7"/>
        <v>5.85</v>
      </c>
      <c r="E46" s="11">
        <f t="shared" si="8"/>
        <v>1053</v>
      </c>
    </row>
    <row r="47" spans="1:5">
      <c r="A47" s="26">
        <v>45937</v>
      </c>
      <c r="B47" s="27" t="s">
        <v>109</v>
      </c>
      <c r="C47" s="27">
        <v>300.06</v>
      </c>
      <c r="D47" s="25" t="str">
        <f t="shared" si="7"/>
        <v>5.8</v>
      </c>
      <c r="E47" s="11">
        <f t="shared" si="8"/>
        <v>1740</v>
      </c>
    </row>
    <row r="48" spans="1:5">
      <c r="A48" s="26">
        <v>45938</v>
      </c>
      <c r="B48" s="27" t="s">
        <v>112</v>
      </c>
      <c r="C48" s="27">
        <v>330</v>
      </c>
      <c r="D48" s="25" t="str">
        <f t="shared" si="7"/>
        <v>5.8</v>
      </c>
      <c r="E48" s="11">
        <f t="shared" si="8"/>
        <v>1914</v>
      </c>
    </row>
    <row r="49" spans="1:5">
      <c r="A49" s="26">
        <v>45938</v>
      </c>
      <c r="B49" s="27" t="s">
        <v>113</v>
      </c>
      <c r="C49" s="27">
        <v>495.54</v>
      </c>
      <c r="D49" s="25" t="str">
        <f t="shared" si="7"/>
        <v>5.8</v>
      </c>
      <c r="E49" s="11">
        <f t="shared" si="8"/>
        <v>2874</v>
      </c>
    </row>
    <row r="50" spans="1:5">
      <c r="A50" s="26">
        <v>45938</v>
      </c>
      <c r="B50" s="27" t="s">
        <v>109</v>
      </c>
      <c r="C50" s="27">
        <v>475.8</v>
      </c>
      <c r="D50" s="25" t="str">
        <f t="shared" si="7"/>
        <v>5.8</v>
      </c>
      <c r="E50" s="11">
        <f t="shared" si="8"/>
        <v>2759</v>
      </c>
    </row>
    <row r="51" spans="4:5">
      <c r="D51" s="25"/>
      <c r="E51" s="11"/>
    </row>
    <row r="52" spans="1:5">
      <c r="A52" s="26">
        <v>45939</v>
      </c>
      <c r="B52" s="27" t="s">
        <v>104</v>
      </c>
      <c r="C52" s="27">
        <v>305</v>
      </c>
      <c r="D52" s="25" t="str">
        <f t="shared" ref="D51:D56" si="9">IF(C52&gt;=200,"5.8",IF(C52&lt;200,"5.85"))</f>
        <v>5.8</v>
      </c>
      <c r="E52" s="11">
        <f t="shared" ref="E51:E56" si="10">INT(C52*D52)</f>
        <v>1769</v>
      </c>
    </row>
    <row r="53" spans="1:5">
      <c r="A53" s="26">
        <v>45939</v>
      </c>
      <c r="B53" s="27" t="s">
        <v>105</v>
      </c>
      <c r="C53" s="27">
        <v>320</v>
      </c>
      <c r="D53" s="25" t="str">
        <f t="shared" si="9"/>
        <v>5.8</v>
      </c>
      <c r="E53" s="11">
        <f t="shared" si="10"/>
        <v>1856</v>
      </c>
    </row>
    <row r="54" spans="1:5">
      <c r="A54" s="26">
        <v>45939</v>
      </c>
      <c r="B54" s="27" t="s">
        <v>106</v>
      </c>
      <c r="C54" s="27">
        <v>295.01</v>
      </c>
      <c r="D54" s="25" t="str">
        <f t="shared" si="9"/>
        <v>5.8</v>
      </c>
      <c r="E54" s="11">
        <f t="shared" si="10"/>
        <v>1711</v>
      </c>
    </row>
    <row r="55" spans="1:5">
      <c r="A55" s="26">
        <v>45939</v>
      </c>
      <c r="B55" s="27" t="s">
        <v>100</v>
      </c>
      <c r="C55" s="27">
        <v>529.01</v>
      </c>
      <c r="D55" s="25" t="str">
        <f t="shared" si="9"/>
        <v>5.8</v>
      </c>
      <c r="E55" s="11">
        <f t="shared" si="10"/>
        <v>3068</v>
      </c>
    </row>
    <row r="56" spans="1:5">
      <c r="A56" s="26">
        <v>45940</v>
      </c>
      <c r="B56" s="27" t="s">
        <v>103</v>
      </c>
      <c r="C56" s="27">
        <v>295.86</v>
      </c>
      <c r="D56" s="25" t="str">
        <f t="shared" si="9"/>
        <v>5.8</v>
      </c>
      <c r="E56" s="11">
        <f t="shared" si="10"/>
        <v>1715</v>
      </c>
    </row>
    <row r="57" spans="4:5">
      <c r="D57" s="25"/>
      <c r="E57" s="11">
        <f t="shared" ref="E57:E64" si="11">INT(C57*D57)</f>
        <v>0</v>
      </c>
    </row>
    <row r="58" spans="1:5">
      <c r="A58" s="26">
        <v>45941</v>
      </c>
      <c r="B58" s="27" t="s">
        <v>102</v>
      </c>
      <c r="C58" s="27">
        <v>330</v>
      </c>
      <c r="D58" s="25" t="str">
        <f>IF(C58&gt;=200,"5.7",IF(C58&lt;200,"5.85"))</f>
        <v>5.7</v>
      </c>
      <c r="E58" s="11">
        <f t="shared" si="11"/>
        <v>1881</v>
      </c>
    </row>
    <row r="59" spans="1:5">
      <c r="A59" s="26">
        <v>45941</v>
      </c>
      <c r="B59" s="27" t="s">
        <v>103</v>
      </c>
      <c r="C59" s="27">
        <v>400</v>
      </c>
      <c r="D59" s="25" t="str">
        <f t="shared" ref="D59:D64" si="12">IF(C59&gt;=200,"5.7",IF(C59&lt;200,"5.85"))</f>
        <v>5.7</v>
      </c>
      <c r="E59" s="11">
        <f t="shared" si="11"/>
        <v>2280</v>
      </c>
    </row>
    <row r="60" spans="1:5">
      <c r="A60" s="26">
        <v>45941</v>
      </c>
      <c r="B60" s="27" t="s">
        <v>101</v>
      </c>
      <c r="C60" s="27">
        <v>235.01</v>
      </c>
      <c r="D60" s="25" t="str">
        <f t="shared" si="12"/>
        <v>5.7</v>
      </c>
      <c r="E60" s="11">
        <f t="shared" si="11"/>
        <v>1339</v>
      </c>
    </row>
    <row r="61" spans="1:5">
      <c r="A61" s="26">
        <v>45941</v>
      </c>
      <c r="B61" s="27" t="s">
        <v>104</v>
      </c>
      <c r="C61" s="27">
        <v>215</v>
      </c>
      <c r="D61" s="25" t="str">
        <f t="shared" si="12"/>
        <v>5.7</v>
      </c>
      <c r="E61" s="11">
        <f t="shared" si="11"/>
        <v>1225</v>
      </c>
    </row>
    <row r="62" spans="1:5">
      <c r="A62" s="26">
        <v>45941</v>
      </c>
      <c r="B62" s="27" t="s">
        <v>105</v>
      </c>
      <c r="C62" s="27">
        <v>295</v>
      </c>
      <c r="D62" s="25" t="str">
        <f t="shared" si="12"/>
        <v>5.7</v>
      </c>
      <c r="E62" s="11">
        <f t="shared" si="11"/>
        <v>1681</v>
      </c>
    </row>
    <row r="63" spans="1:5">
      <c r="A63" s="26">
        <v>45941</v>
      </c>
      <c r="B63" s="27" t="s">
        <v>106</v>
      </c>
      <c r="C63" s="27">
        <v>300</v>
      </c>
      <c r="D63" s="25" t="str">
        <f t="shared" si="12"/>
        <v>5.7</v>
      </c>
      <c r="E63" s="11">
        <f t="shared" si="11"/>
        <v>1710</v>
      </c>
    </row>
    <row r="64" spans="1:5">
      <c r="A64" s="26">
        <v>45941</v>
      </c>
      <c r="B64" s="27" t="s">
        <v>100</v>
      </c>
      <c r="C64" s="27">
        <v>380</v>
      </c>
      <c r="D64" s="25" t="str">
        <f t="shared" si="12"/>
        <v>5.7</v>
      </c>
      <c r="E64" s="11">
        <f t="shared" si="11"/>
        <v>2166</v>
      </c>
    </row>
  </sheetData>
  <mergeCells count="1">
    <mergeCell ref="B1:D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5"/>
  </sheetPr>
  <dimension ref="A1:L18"/>
  <sheetViews>
    <sheetView tabSelected="1" workbookViewId="0">
      <selection activeCell="J18" sqref="J18"/>
    </sheetView>
  </sheetViews>
  <sheetFormatPr defaultColWidth="9" defaultRowHeight="14.25"/>
  <cols>
    <col min="1" max="1" width="11.6" customWidth="1"/>
    <col min="2" max="2" width="10.0666666666667" customWidth="1"/>
    <col min="3" max="3" width="9.4" customWidth="1"/>
    <col min="4" max="4" width="9.73333333333333" customWidth="1"/>
  </cols>
  <sheetData>
    <row r="1" ht="20.25" spans="1:12">
      <c r="A1" s="1" t="s">
        <v>0</v>
      </c>
      <c r="B1" s="2" t="s">
        <v>114</v>
      </c>
      <c r="C1" s="3"/>
      <c r="D1" s="4"/>
      <c r="E1" s="32"/>
      <c r="F1" s="6" t="s">
        <v>115</v>
      </c>
      <c r="G1" s="33"/>
      <c r="L1" t="str" cm="1">
        <f t="array" ref="L1:L15">_xlfn.TOCOL(A2:E4)</f>
        <v>鄂FT0079</v>
      </c>
    </row>
    <row r="2" spans="1:12">
      <c r="A2" s="11" t="s">
        <v>116</v>
      </c>
      <c r="B2" s="11" t="s">
        <v>117</v>
      </c>
      <c r="C2" s="11" t="s">
        <v>118</v>
      </c>
      <c r="D2" s="14" t="s">
        <v>119</v>
      </c>
      <c r="E2" s="11" t="s">
        <v>120</v>
      </c>
      <c r="F2" s="34"/>
      <c r="G2" s="11"/>
      <c r="L2" t="str">
        <v>赣K56885</v>
      </c>
    </row>
    <row r="3" spans="1:12">
      <c r="A3" s="14" t="s">
        <v>121</v>
      </c>
      <c r="B3" s="11" t="s">
        <v>122</v>
      </c>
      <c r="C3" s="14" t="s">
        <v>123</v>
      </c>
      <c r="D3" s="14" t="s">
        <v>124</v>
      </c>
      <c r="E3" s="11" t="s">
        <v>125</v>
      </c>
      <c r="F3" s="14"/>
      <c r="G3" s="14"/>
      <c r="L3" t="str">
        <v>赣FC0821</v>
      </c>
    </row>
    <row r="4" spans="1:12">
      <c r="A4" s="11" t="s">
        <v>126</v>
      </c>
      <c r="B4" s="11" t="s">
        <v>127</v>
      </c>
      <c r="C4" s="36" t="s">
        <v>128</v>
      </c>
      <c r="D4" s="34" t="s">
        <v>129</v>
      </c>
      <c r="F4" s="14"/>
      <c r="G4" s="14"/>
      <c r="L4" t="str">
        <v>川T28009</v>
      </c>
    </row>
    <row r="5" spans="1:12">
      <c r="A5" s="29"/>
      <c r="B5" s="14"/>
      <c r="C5" s="30"/>
      <c r="D5" s="14"/>
      <c r="E5" s="14"/>
      <c r="F5" s="14"/>
      <c r="G5" s="14"/>
      <c r="L5" t="str">
        <v>浙E1322挂</v>
      </c>
    </row>
    <row r="6" spans="1:12">
      <c r="A6" s="29"/>
      <c r="B6" s="14"/>
      <c r="C6" s="30"/>
      <c r="D6" s="14"/>
      <c r="E6" s="14"/>
      <c r="F6" s="14"/>
      <c r="G6" s="14"/>
      <c r="L6" t="str">
        <v>皖CF8602</v>
      </c>
    </row>
    <row r="7" spans="1:12">
      <c r="A7" s="29"/>
      <c r="B7" s="14"/>
      <c r="C7" s="30"/>
      <c r="D7" s="14"/>
      <c r="E7" s="14"/>
      <c r="F7" s="14"/>
      <c r="G7" s="14"/>
      <c r="L7" t="str">
        <v>赣CX9777</v>
      </c>
    </row>
    <row r="8" spans="1:12">
      <c r="A8" s="29"/>
      <c r="B8" s="14"/>
      <c r="C8" s="30"/>
      <c r="D8" s="14"/>
      <c r="E8" s="14"/>
      <c r="F8" s="14"/>
      <c r="G8" s="14"/>
      <c r="L8" t="str">
        <v>鲁H15E96</v>
      </c>
    </row>
    <row r="9" spans="1:12">
      <c r="A9" s="29"/>
      <c r="B9" s="14"/>
      <c r="C9" s="30"/>
      <c r="D9" s="14"/>
      <c r="E9" s="14"/>
      <c r="F9" s="14"/>
      <c r="G9" s="14"/>
      <c r="L9" t="str">
        <v>赣C3K978</v>
      </c>
    </row>
    <row r="10" spans="12:12">
      <c r="L10" t="str">
        <v>粤BHA294</v>
      </c>
    </row>
    <row r="11" spans="1:12">
      <c r="A11" s="20" t="s">
        <v>19</v>
      </c>
      <c r="B11" s="21" t="s">
        <v>20</v>
      </c>
      <c r="C11" s="22" t="s">
        <v>21</v>
      </c>
      <c r="D11" s="21" t="s">
        <v>22</v>
      </c>
      <c r="E11" s="21" t="s">
        <v>23</v>
      </c>
      <c r="F11" s="21" t="s">
        <v>24</v>
      </c>
      <c r="G11" s="21" t="s">
        <v>25</v>
      </c>
      <c r="L11" t="str">
        <v>粤BHQ091</v>
      </c>
    </row>
    <row r="12" spans="1:12">
      <c r="A12" s="26">
        <v>45926</v>
      </c>
      <c r="B12" s="27" t="s">
        <v>130</v>
      </c>
      <c r="C12" s="27">
        <v>200</v>
      </c>
      <c r="D12" s="25" t="str">
        <f>IF(C12&gt;=200,"5.8",IF(C12&lt;200,"6"))</f>
        <v>5.8</v>
      </c>
      <c r="E12" s="25">
        <f t="shared" ref="E12:E18" si="0">INT(C12*D12)</f>
        <v>1160</v>
      </c>
      <c r="L12" t="str">
        <v>粤BJD163</v>
      </c>
    </row>
    <row r="13" spans="1:12">
      <c r="A13" s="26">
        <v>45926</v>
      </c>
      <c r="B13" s="27" t="s">
        <v>131</v>
      </c>
      <c r="C13" s="27">
        <v>776.08</v>
      </c>
      <c r="D13" s="25" t="str">
        <f>IF(C13&gt;=200,"5.8",IF(C13&lt;200,"6"))</f>
        <v>5.8</v>
      </c>
      <c r="E13" s="25">
        <f t="shared" si="0"/>
        <v>4501</v>
      </c>
      <c r="L13" t="str">
        <v>粤BHH589</v>
      </c>
    </row>
    <row r="14" spans="1:12">
      <c r="A14" s="26">
        <v>45926</v>
      </c>
      <c r="B14" s="27" t="s">
        <v>132</v>
      </c>
      <c r="C14" s="27">
        <v>480</v>
      </c>
      <c r="D14" s="25" t="str">
        <f>IF(C14&gt;=200,"5.8",IF(C14&lt;200,"6"))</f>
        <v>5.8</v>
      </c>
      <c r="E14" s="25">
        <f t="shared" si="0"/>
        <v>2784</v>
      </c>
      <c r="L14" t="str">
        <v>粤BHM499</v>
      </c>
    </row>
    <row r="15" spans="1:12">
      <c r="A15" s="26">
        <v>45926</v>
      </c>
      <c r="B15" s="27" t="s">
        <v>133</v>
      </c>
      <c r="C15" s="27">
        <v>200</v>
      </c>
      <c r="D15" s="25" t="str">
        <f>IF(C15&gt;=200,"5.8",IF(C15&lt;200,"6"))</f>
        <v>5.8</v>
      </c>
      <c r="E15" s="25">
        <f t="shared" si="0"/>
        <v>1160</v>
      </c>
      <c r="L15">
        <v>0</v>
      </c>
    </row>
    <row r="16" spans="1:5">
      <c r="A16" s="26">
        <v>45928</v>
      </c>
      <c r="B16" s="27" t="s">
        <v>133</v>
      </c>
      <c r="C16" s="27">
        <v>200</v>
      </c>
      <c r="D16" s="25" t="str">
        <f>IF(C16&gt;=200,"5.8",IF(C16&lt;200,"6"))</f>
        <v>5.8</v>
      </c>
      <c r="E16" s="25">
        <f t="shared" si="0"/>
        <v>1160</v>
      </c>
    </row>
    <row r="17" spans="4:5">
      <c r="D17" s="25"/>
      <c r="E17" s="25">
        <f t="shared" si="0"/>
        <v>0</v>
      </c>
    </row>
    <row r="18" spans="1:5">
      <c r="A18" s="26">
        <v>45942</v>
      </c>
      <c r="B18" s="27" t="s">
        <v>134</v>
      </c>
      <c r="C18" s="27">
        <v>260</v>
      </c>
      <c r="D18" s="25" t="str">
        <f>IF(C18&gt;=200,"5.8",IF(C18&lt;200,"6"))</f>
        <v>5.8</v>
      </c>
      <c r="E18" s="25">
        <f t="shared" si="0"/>
        <v>1508</v>
      </c>
    </row>
  </sheetData>
  <mergeCells count="1">
    <mergeCell ref="B1:D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4"/>
  </sheetPr>
  <dimension ref="A1:M29"/>
  <sheetViews>
    <sheetView workbookViewId="0">
      <selection activeCell="H30" sqref="H30"/>
    </sheetView>
  </sheetViews>
  <sheetFormatPr defaultColWidth="9" defaultRowHeight="14.25"/>
  <cols>
    <col min="1" max="1" width="9.86666666666667"/>
    <col min="2" max="2" width="12.1333333333333" customWidth="1"/>
    <col min="3" max="3" width="11.1333333333333" customWidth="1"/>
  </cols>
  <sheetData>
    <row r="1" ht="20.25" spans="1:11">
      <c r="A1" s="1" t="s">
        <v>0</v>
      </c>
      <c r="B1" s="2" t="s">
        <v>135</v>
      </c>
      <c r="C1" s="3"/>
      <c r="D1" s="4"/>
      <c r="E1" s="32"/>
      <c r="F1" s="6" t="s">
        <v>115</v>
      </c>
      <c r="G1" s="33"/>
      <c r="I1" s="11"/>
      <c r="J1" s="44"/>
      <c r="K1" s="11"/>
    </row>
    <row r="2" spans="1:13">
      <c r="A2" s="14" t="s">
        <v>136</v>
      </c>
      <c r="B2" s="14" t="s">
        <v>137</v>
      </c>
      <c r="C2" s="11" t="s">
        <v>138</v>
      </c>
      <c r="D2" s="11" t="s">
        <v>139</v>
      </c>
      <c r="E2" s="14" t="s">
        <v>140</v>
      </c>
      <c r="F2" s="11" t="s">
        <v>141</v>
      </c>
      <c r="G2" s="11"/>
      <c r="I2" s="11"/>
      <c r="J2" s="11"/>
      <c r="K2" s="11"/>
      <c r="M2" s="11"/>
    </row>
    <row r="3" spans="1:13">
      <c r="A3" s="11" t="s">
        <v>142</v>
      </c>
      <c r="B3" s="11" t="s">
        <v>143</v>
      </c>
      <c r="D3" s="11"/>
      <c r="E3" s="11"/>
      <c r="F3" s="14"/>
      <c r="G3" s="14"/>
      <c r="I3" s="11"/>
      <c r="J3" s="11"/>
      <c r="K3" s="11"/>
      <c r="M3" s="11"/>
    </row>
    <row r="4" spans="1:13">
      <c r="A4" s="11"/>
      <c r="B4" s="11"/>
      <c r="C4" s="11"/>
      <c r="D4" s="14"/>
      <c r="E4" s="14"/>
      <c r="F4" s="14"/>
      <c r="G4" s="14"/>
      <c r="M4" t="str" cm="1">
        <f t="array" ref="M4:M15">_xlfn.TOCOL(A2:F3)</f>
        <v>粤AGQ610</v>
      </c>
    </row>
    <row r="5" spans="1:13">
      <c r="A5" s="11"/>
      <c r="B5" s="11"/>
      <c r="C5" s="11"/>
      <c r="D5" s="11"/>
      <c r="E5" s="11"/>
      <c r="F5" s="14"/>
      <c r="G5" s="14"/>
      <c r="H5" s="40"/>
      <c r="M5" t="str">
        <v>苏F74369</v>
      </c>
    </row>
    <row r="6" spans="1:13">
      <c r="A6" s="29"/>
      <c r="B6" s="14"/>
      <c r="C6" s="30"/>
      <c r="D6" s="14"/>
      <c r="E6" s="14"/>
      <c r="F6" s="14"/>
      <c r="G6" s="14"/>
      <c r="H6" s="41"/>
      <c r="M6" t="str">
        <v>豫A8579A</v>
      </c>
    </row>
    <row r="7" spans="1:13">
      <c r="A7" s="29"/>
      <c r="B7" s="14"/>
      <c r="C7" s="30"/>
      <c r="D7" s="14"/>
      <c r="E7" s="14"/>
      <c r="F7" s="14"/>
      <c r="G7" s="14"/>
      <c r="H7" s="42"/>
      <c r="M7" t="str">
        <v>粤R92041</v>
      </c>
    </row>
    <row r="8" spans="1:13">
      <c r="A8" s="29"/>
      <c r="B8" s="14"/>
      <c r="C8" s="30"/>
      <c r="D8" s="14"/>
      <c r="E8" s="14"/>
      <c r="F8" s="14"/>
      <c r="G8" s="14"/>
      <c r="H8" s="43"/>
      <c r="M8" t="str">
        <v>沪FT5778</v>
      </c>
    </row>
    <row r="9" spans="1:13">
      <c r="A9" s="29"/>
      <c r="B9" s="14"/>
      <c r="C9" s="30"/>
      <c r="D9" s="14"/>
      <c r="E9" s="14"/>
      <c r="F9" s="14"/>
      <c r="G9" s="14"/>
      <c r="M9" t="str">
        <v>川AY0655</v>
      </c>
    </row>
    <row r="10" spans="13:13">
      <c r="M10" t="str">
        <v>川T3307挂</v>
      </c>
    </row>
    <row r="11" spans="1:13">
      <c r="A11" s="20" t="s">
        <v>19</v>
      </c>
      <c r="B11" s="21" t="s">
        <v>20</v>
      </c>
      <c r="C11" s="22" t="s">
        <v>21</v>
      </c>
      <c r="D11" s="21" t="s">
        <v>22</v>
      </c>
      <c r="E11" s="21" t="s">
        <v>23</v>
      </c>
      <c r="F11" s="21" t="s">
        <v>24</v>
      </c>
      <c r="G11" s="21" t="s">
        <v>25</v>
      </c>
      <c r="M11" t="str">
        <v>赣CH7127</v>
      </c>
    </row>
    <row r="12" spans="1:13">
      <c r="A12" s="26">
        <v>45923</v>
      </c>
      <c r="B12" s="27" t="s">
        <v>144</v>
      </c>
      <c r="C12" s="27">
        <v>300</v>
      </c>
      <c r="D12" s="25" t="str">
        <f t="shared" ref="D12:D16" si="0">IF(C12&gt;=200,"5.8",IF(C12&lt;200,"6"))</f>
        <v>5.8</v>
      </c>
      <c r="E12" s="25">
        <f t="shared" ref="E12:E16" si="1">INT(C12*D12)</f>
        <v>1740</v>
      </c>
      <c r="F12" s="13"/>
      <c r="G12" s="13"/>
      <c r="M12">
        <v>0</v>
      </c>
    </row>
    <row r="13" spans="1:13">
      <c r="A13" s="26">
        <v>45923</v>
      </c>
      <c r="B13" s="27" t="s">
        <v>145</v>
      </c>
      <c r="C13" s="27">
        <v>533</v>
      </c>
      <c r="D13" s="25" t="str">
        <f t="shared" si="0"/>
        <v>5.8</v>
      </c>
      <c r="E13" s="25">
        <f t="shared" si="1"/>
        <v>3091</v>
      </c>
      <c r="F13" s="11"/>
      <c r="G13" s="11"/>
      <c r="M13">
        <v>0</v>
      </c>
    </row>
    <row r="14" spans="1:13">
      <c r="A14" s="26">
        <v>45928</v>
      </c>
      <c r="B14" s="27" t="s">
        <v>146</v>
      </c>
      <c r="C14" s="27">
        <v>315.4</v>
      </c>
      <c r="D14" s="25" t="str">
        <f t="shared" si="0"/>
        <v>5.8</v>
      </c>
      <c r="E14" s="25">
        <f t="shared" si="1"/>
        <v>1829</v>
      </c>
      <c r="F14" s="11"/>
      <c r="G14" s="11"/>
      <c r="M14">
        <v>0</v>
      </c>
    </row>
    <row r="15" spans="1:13">
      <c r="A15" s="26">
        <v>45928</v>
      </c>
      <c r="B15" s="27" t="s">
        <v>147</v>
      </c>
      <c r="C15" s="27">
        <v>300</v>
      </c>
      <c r="D15" s="25" t="str">
        <f t="shared" si="0"/>
        <v>5.8</v>
      </c>
      <c r="E15" s="25">
        <f t="shared" si="1"/>
        <v>1740</v>
      </c>
      <c r="F15" s="11"/>
      <c r="G15" s="11"/>
      <c r="M15">
        <v>0</v>
      </c>
    </row>
    <row r="16" spans="1:7">
      <c r="A16" s="26">
        <v>45928</v>
      </c>
      <c r="B16" s="27" t="s">
        <v>148</v>
      </c>
      <c r="C16" s="27">
        <v>450</v>
      </c>
      <c r="D16" s="25" t="str">
        <f t="shared" si="0"/>
        <v>5.8</v>
      </c>
      <c r="E16" s="25">
        <f t="shared" si="1"/>
        <v>2610</v>
      </c>
      <c r="F16" s="11"/>
      <c r="G16" s="11"/>
    </row>
    <row r="17" spans="1:7">
      <c r="A17" s="26"/>
      <c r="B17" s="27"/>
      <c r="C17" s="27"/>
      <c r="D17" s="25"/>
      <c r="E17" s="25"/>
      <c r="F17" s="11"/>
      <c r="G17" s="11"/>
    </row>
    <row r="18" spans="1:7">
      <c r="A18" s="26">
        <v>45929</v>
      </c>
      <c r="B18" s="27" t="s">
        <v>146</v>
      </c>
      <c r="C18" s="27">
        <v>500</v>
      </c>
      <c r="D18" s="25" t="str">
        <f>IF(C18&gt;=200,"5.8",IF(C18&lt;200,"6"))</f>
        <v>5.8</v>
      </c>
      <c r="E18" s="25">
        <f>INT(C18*D18)</f>
        <v>2900</v>
      </c>
      <c r="F18" s="11"/>
      <c r="G18" s="11"/>
    </row>
    <row r="19" spans="1:7">
      <c r="A19" s="26">
        <v>45931</v>
      </c>
      <c r="B19" s="27" t="s">
        <v>146</v>
      </c>
      <c r="C19" s="27">
        <v>560</v>
      </c>
      <c r="D19" s="25" t="str">
        <f>IF(C19&gt;=200,"5.8",IF(C19&lt;200,"6"))</f>
        <v>5.8</v>
      </c>
      <c r="E19" s="25">
        <f>INT(C19*D19)</f>
        <v>3248</v>
      </c>
      <c r="F19" s="11"/>
      <c r="G19" s="11"/>
    </row>
    <row r="20" spans="1:7">
      <c r="A20" s="26">
        <v>45931</v>
      </c>
      <c r="B20" s="27" t="s">
        <v>145</v>
      </c>
      <c r="C20" s="27">
        <v>350</v>
      </c>
      <c r="D20" s="25" t="str">
        <f>IF(C20&gt;=200,"5.8",IF(C20&lt;200,"6"))</f>
        <v>5.8</v>
      </c>
      <c r="E20" s="25">
        <f>INT(C20*D20)</f>
        <v>2030</v>
      </c>
      <c r="F20" s="11"/>
      <c r="G20" s="11"/>
    </row>
    <row r="21" spans="1:7">
      <c r="A21" s="26">
        <v>45931</v>
      </c>
      <c r="B21" s="27" t="s">
        <v>148</v>
      </c>
      <c r="C21" s="27">
        <v>500</v>
      </c>
      <c r="D21" s="25" t="str">
        <f>IF(C21&gt;=200,"5.8",IF(C21&lt;200,"6"))</f>
        <v>5.8</v>
      </c>
      <c r="E21" s="25">
        <f>INT(C21*D21)</f>
        <v>2900</v>
      </c>
      <c r="F21" s="11"/>
      <c r="G21" s="11"/>
    </row>
    <row r="22" spans="1:7">
      <c r="A22" s="11"/>
      <c r="B22" s="11"/>
      <c r="C22" s="11"/>
      <c r="D22" s="25"/>
      <c r="E22" s="25"/>
      <c r="F22" s="11"/>
      <c r="G22" s="11"/>
    </row>
    <row r="23" spans="1:7">
      <c r="A23" s="26">
        <v>45932</v>
      </c>
      <c r="B23" s="27" t="s">
        <v>147</v>
      </c>
      <c r="C23" s="27">
        <v>300</v>
      </c>
      <c r="D23" s="25" t="str">
        <f>IF(C23&gt;=200,"5.8",IF(C23&lt;200,"6"))</f>
        <v>5.8</v>
      </c>
      <c r="E23" s="25">
        <f>INT(C23*D23)</f>
        <v>1740</v>
      </c>
      <c r="F23" s="11"/>
      <c r="G23" s="11"/>
    </row>
    <row r="24" spans="1:7">
      <c r="A24" s="11"/>
      <c r="B24" s="11"/>
      <c r="C24" s="11"/>
      <c r="D24" s="25"/>
      <c r="E24" s="25"/>
      <c r="F24" s="11"/>
      <c r="G24" s="11"/>
    </row>
    <row r="25" spans="1:7">
      <c r="A25" s="26">
        <v>45939</v>
      </c>
      <c r="B25" s="27" t="s">
        <v>147</v>
      </c>
      <c r="C25" s="27">
        <v>329.53</v>
      </c>
      <c r="D25" s="25" t="str">
        <f>IF(C25&gt;=200,"5.8",IF(C25&lt;200,"6"))</f>
        <v>5.8</v>
      </c>
      <c r="E25" s="25">
        <f>INT(C25*D25)</f>
        <v>1911</v>
      </c>
      <c r="F25" s="11"/>
      <c r="G25" s="11"/>
    </row>
    <row r="26" spans="1:7">
      <c r="A26" s="26">
        <v>45940</v>
      </c>
      <c r="B26" s="27" t="s">
        <v>146</v>
      </c>
      <c r="C26" s="27">
        <v>300</v>
      </c>
      <c r="D26" s="25" t="str">
        <f>IF(C26&gt;=200,"5.8",IF(C26&lt;200,"6"))</f>
        <v>5.8</v>
      </c>
      <c r="E26" s="25">
        <f>INT(C26*D26)</f>
        <v>1740</v>
      </c>
      <c r="F26" s="11"/>
      <c r="G26" s="11"/>
    </row>
    <row r="27" spans="1:7">
      <c r="A27" s="26">
        <v>45940</v>
      </c>
      <c r="B27" s="27" t="s">
        <v>148</v>
      </c>
      <c r="C27" s="27">
        <v>450</v>
      </c>
      <c r="D27" s="25" t="str">
        <f>IF(C27&gt;=200,"5.8",IF(C27&lt;200,"6"))</f>
        <v>5.8</v>
      </c>
      <c r="E27" s="25">
        <f>INT(C27*D27)</f>
        <v>2610</v>
      </c>
      <c r="F27" s="11"/>
      <c r="G27" s="11"/>
    </row>
    <row r="28" spans="4:6">
      <c r="D28" s="25"/>
      <c r="E28" s="25"/>
      <c r="F28">
        <f>SUM(E25:E27)</f>
        <v>6261</v>
      </c>
    </row>
    <row r="29" spans="1:5">
      <c r="A29" s="26">
        <v>45942</v>
      </c>
      <c r="B29" s="27" t="s">
        <v>148</v>
      </c>
      <c r="C29" s="27">
        <v>420</v>
      </c>
      <c r="D29" s="25" t="str">
        <f>IF(C29&gt;=200,"5.8",IF(C29&lt;200,"6"))</f>
        <v>5.8</v>
      </c>
      <c r="E29" s="25">
        <f>INT(C29*D29)</f>
        <v>2436</v>
      </c>
    </row>
  </sheetData>
  <conditionalFormatting sqref="D3:E3 A2:F2">
    <cfRule type="duplicateValues" dxfId="0" priority="1"/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L72"/>
  <sheetViews>
    <sheetView topLeftCell="A45" workbookViewId="0">
      <selection activeCell="A64" sqref="A64:E72"/>
    </sheetView>
  </sheetViews>
  <sheetFormatPr defaultColWidth="9" defaultRowHeight="14.25"/>
  <cols>
    <col min="1" max="1" width="11.625" customWidth="1"/>
    <col min="2" max="2" width="11.8666666666667" customWidth="1"/>
  </cols>
  <sheetData>
    <row r="1" ht="20.25" spans="1:7">
      <c r="A1" s="1" t="s">
        <v>0</v>
      </c>
      <c r="B1" s="2" t="s">
        <v>149</v>
      </c>
      <c r="C1" s="3"/>
      <c r="D1" s="4"/>
      <c r="E1" s="32"/>
      <c r="F1" s="6">
        <v>5.8</v>
      </c>
      <c r="G1" s="33"/>
    </row>
    <row r="2" spans="1:12">
      <c r="A2" s="29" t="s">
        <v>150</v>
      </c>
      <c r="B2" s="11" t="s">
        <v>151</v>
      </c>
      <c r="C2" s="36" t="s">
        <v>152</v>
      </c>
      <c r="D2" s="34" t="s">
        <v>153</v>
      </c>
      <c r="E2" s="11" t="s">
        <v>154</v>
      </c>
      <c r="F2" s="10"/>
      <c r="G2" s="11"/>
      <c r="L2" s="29" t="str" cm="1">
        <f t="array" ref="L2:L21">_xlfn.TOCOL(A2:E5)</f>
        <v>粤ACE396</v>
      </c>
    </row>
    <row r="3" spans="1:12">
      <c r="A3" s="11" t="s">
        <v>155</v>
      </c>
      <c r="B3" s="11" t="s">
        <v>156</v>
      </c>
      <c r="C3" s="11" t="s">
        <v>157</v>
      </c>
      <c r="D3" s="14" t="s">
        <v>158</v>
      </c>
      <c r="E3" s="30" t="s">
        <v>159</v>
      </c>
      <c r="F3" s="14"/>
      <c r="G3" s="14"/>
      <c r="L3" t="str">
        <v>粤GR5767</v>
      </c>
    </row>
    <row r="4" spans="1:12">
      <c r="A4" s="29" t="s">
        <v>160</v>
      </c>
      <c r="B4" s="14" t="s">
        <v>161</v>
      </c>
      <c r="C4" s="30" t="s">
        <v>162</v>
      </c>
      <c r="D4" s="14" t="s">
        <v>163</v>
      </c>
      <c r="E4" s="29" t="s">
        <v>164</v>
      </c>
      <c r="F4" s="14"/>
      <c r="G4" s="14"/>
      <c r="L4" t="str">
        <v>赣C1611E</v>
      </c>
    </row>
    <row r="5" spans="1:12">
      <c r="A5" t="s">
        <v>165</v>
      </c>
      <c r="B5" s="14" t="s">
        <v>166</v>
      </c>
      <c r="D5" s="14"/>
      <c r="E5" s="14"/>
      <c r="F5" s="14"/>
      <c r="G5" s="14"/>
      <c r="L5" t="str">
        <v>赣C3D665</v>
      </c>
    </row>
    <row r="6" spans="1:12">
      <c r="A6" s="29"/>
      <c r="B6" s="14"/>
      <c r="C6" s="30"/>
      <c r="D6" s="14"/>
      <c r="E6" s="14"/>
      <c r="F6" s="14"/>
      <c r="G6" s="14"/>
      <c r="L6" t="str">
        <v>粤R43825</v>
      </c>
    </row>
    <row r="7" spans="1:12">
      <c r="A7" s="29"/>
      <c r="B7" s="14"/>
      <c r="C7" s="30"/>
      <c r="D7" s="14"/>
      <c r="E7" s="14"/>
      <c r="F7" s="14"/>
      <c r="G7" s="14"/>
      <c r="L7" t="str">
        <v>赣CCN477</v>
      </c>
    </row>
    <row r="8" spans="1:12">
      <c r="A8" s="29"/>
      <c r="B8" s="14"/>
      <c r="C8" s="30"/>
      <c r="D8" s="14"/>
      <c r="E8" s="14"/>
      <c r="F8" s="14"/>
      <c r="G8" s="14"/>
      <c r="L8" t="str">
        <v>闽EA535F</v>
      </c>
    </row>
    <row r="9" spans="1:12">
      <c r="A9" s="29"/>
      <c r="B9" s="14"/>
      <c r="C9" s="30"/>
      <c r="D9" s="14"/>
      <c r="E9" s="14"/>
      <c r="F9" s="14"/>
      <c r="G9" s="14"/>
      <c r="L9" t="str">
        <v>赣FD1795</v>
      </c>
    </row>
    <row r="10" spans="12:12">
      <c r="L10" t="str">
        <v>赣FD5296</v>
      </c>
    </row>
    <row r="11" spans="1:12">
      <c r="A11" s="20" t="s">
        <v>19</v>
      </c>
      <c r="B11" s="21" t="s">
        <v>20</v>
      </c>
      <c r="C11" s="22" t="s">
        <v>21</v>
      </c>
      <c r="D11" s="21" t="s">
        <v>22</v>
      </c>
      <c r="E11" s="21" t="s">
        <v>23</v>
      </c>
      <c r="F11" s="21" t="s">
        <v>24</v>
      </c>
      <c r="G11" s="21" t="s">
        <v>25</v>
      </c>
      <c r="H11" s="21"/>
      <c r="L11" t="str">
        <v>粤D652J1</v>
      </c>
    </row>
    <row r="12" spans="1:12">
      <c r="A12" s="26">
        <v>45923</v>
      </c>
      <c r="B12" s="27" t="s">
        <v>167</v>
      </c>
      <c r="C12" s="27">
        <v>193.7</v>
      </c>
      <c r="D12" s="11">
        <v>5.8</v>
      </c>
      <c r="E12" s="11">
        <f t="shared" ref="E12:E14" si="0">INT(C12*D12)</f>
        <v>1123</v>
      </c>
      <c r="F12" s="13"/>
      <c r="G12" s="13"/>
      <c r="L12" t="str">
        <v>粤AHM306</v>
      </c>
    </row>
    <row r="13" spans="1:12">
      <c r="A13" s="26">
        <v>45923</v>
      </c>
      <c r="B13" s="27" t="s">
        <v>168</v>
      </c>
      <c r="C13" s="27">
        <v>161</v>
      </c>
      <c r="D13" s="11">
        <v>5.8</v>
      </c>
      <c r="E13" s="11">
        <f t="shared" si="0"/>
        <v>933</v>
      </c>
      <c r="F13" s="13"/>
      <c r="G13" s="13"/>
      <c r="L13" t="str">
        <v>粤AHP997</v>
      </c>
    </row>
    <row r="14" spans="1:12">
      <c r="A14" s="26">
        <v>45925</v>
      </c>
      <c r="B14" s="27" t="s">
        <v>169</v>
      </c>
      <c r="C14" s="27">
        <v>212.57</v>
      </c>
      <c r="D14" s="11">
        <v>5.8</v>
      </c>
      <c r="E14" s="11">
        <f t="shared" si="0"/>
        <v>1232</v>
      </c>
      <c r="F14" s="13"/>
      <c r="G14" s="13"/>
      <c r="L14" t="str">
        <v>粤AGG730</v>
      </c>
    </row>
    <row r="15" spans="1:12">
      <c r="A15" s="26">
        <v>45926</v>
      </c>
      <c r="B15" s="27" t="s">
        <v>170</v>
      </c>
      <c r="C15" s="27">
        <v>187.63</v>
      </c>
      <c r="D15" s="11">
        <v>5.8</v>
      </c>
      <c r="E15" s="11">
        <f t="shared" ref="E15:E23" si="1">INT(C15*D15)</f>
        <v>1088</v>
      </c>
      <c r="F15" s="13"/>
      <c r="G15" s="13"/>
      <c r="L15" t="str">
        <v>粤AGN483</v>
      </c>
    </row>
    <row r="16" spans="1:12">
      <c r="A16" s="26">
        <v>45926</v>
      </c>
      <c r="B16" s="27" t="s">
        <v>168</v>
      </c>
      <c r="C16" s="27">
        <v>105</v>
      </c>
      <c r="D16" s="11">
        <v>5.8</v>
      </c>
      <c r="E16" s="11">
        <f t="shared" si="1"/>
        <v>609</v>
      </c>
      <c r="L16" t="str">
        <v>粤AFD528</v>
      </c>
    </row>
    <row r="17" spans="1:12">
      <c r="A17" s="26">
        <v>45927</v>
      </c>
      <c r="B17" s="27" t="s">
        <v>167</v>
      </c>
      <c r="C17" s="27">
        <v>228.46</v>
      </c>
      <c r="D17" s="11">
        <v>5.8</v>
      </c>
      <c r="E17" s="11">
        <f t="shared" si="1"/>
        <v>1325</v>
      </c>
      <c r="L17" s="14" t="str">
        <v>粤DGB851</v>
      </c>
    </row>
    <row r="18" spans="1:12">
      <c r="A18" s="26">
        <v>45927</v>
      </c>
      <c r="B18" s="27" t="s">
        <v>170</v>
      </c>
      <c r="C18" s="27">
        <v>173.11</v>
      </c>
      <c r="D18" s="11">
        <v>5.8</v>
      </c>
      <c r="E18" s="11">
        <f t="shared" si="1"/>
        <v>1004</v>
      </c>
      <c r="L18" t="str">
        <v>粤D26466</v>
      </c>
    </row>
    <row r="19" spans="1:12">
      <c r="A19" s="26">
        <v>45927</v>
      </c>
      <c r="B19" s="27" t="s">
        <v>169</v>
      </c>
      <c r="C19" s="27">
        <v>232.04</v>
      </c>
      <c r="D19" s="11">
        <v>5.8</v>
      </c>
      <c r="E19" s="11">
        <f t="shared" si="1"/>
        <v>1345</v>
      </c>
      <c r="L19">
        <v>0</v>
      </c>
    </row>
    <row r="20" spans="1:12">
      <c r="A20" s="26">
        <v>45927</v>
      </c>
      <c r="B20" s="27" t="s">
        <v>171</v>
      </c>
      <c r="C20" s="27">
        <v>156.66</v>
      </c>
      <c r="D20" s="11">
        <v>5.8</v>
      </c>
      <c r="E20" s="11">
        <f t="shared" si="1"/>
        <v>908</v>
      </c>
      <c r="L20">
        <v>0</v>
      </c>
    </row>
    <row r="21" spans="1:12">
      <c r="A21" s="26">
        <v>45928</v>
      </c>
      <c r="B21" s="27" t="s">
        <v>170</v>
      </c>
      <c r="C21" s="27">
        <v>189.52</v>
      </c>
      <c r="D21" s="11">
        <v>5.8</v>
      </c>
      <c r="E21" s="11">
        <f t="shared" si="1"/>
        <v>1099</v>
      </c>
      <c r="L21">
        <v>0</v>
      </c>
    </row>
    <row r="22" spans="1:5">
      <c r="A22" s="26">
        <v>45928</v>
      </c>
      <c r="B22" s="27" t="s">
        <v>169</v>
      </c>
      <c r="C22" s="27">
        <v>219.03</v>
      </c>
      <c r="D22" s="11">
        <v>5.8</v>
      </c>
      <c r="E22" s="11">
        <f t="shared" si="1"/>
        <v>1270</v>
      </c>
    </row>
    <row r="23" s="35" customFormat="1" spans="1:5">
      <c r="A23" s="37">
        <v>45928</v>
      </c>
      <c r="B23" s="38" t="s">
        <v>168</v>
      </c>
      <c r="C23" s="38">
        <v>181</v>
      </c>
      <c r="D23" s="39">
        <v>5.8</v>
      </c>
      <c r="E23" s="39">
        <f t="shared" si="1"/>
        <v>1049</v>
      </c>
    </row>
    <row r="24" spans="1:5">
      <c r="A24" s="26">
        <v>45929</v>
      </c>
      <c r="B24" s="27" t="s">
        <v>171</v>
      </c>
      <c r="C24" s="27">
        <v>155.58</v>
      </c>
      <c r="D24" s="11">
        <v>5.8</v>
      </c>
      <c r="E24" s="11">
        <f t="shared" ref="E24:E34" si="2">INT(C24*D24)</f>
        <v>902</v>
      </c>
    </row>
    <row r="25" spans="1:5">
      <c r="A25" s="26">
        <v>45929</v>
      </c>
      <c r="B25" s="27" t="s">
        <v>168</v>
      </c>
      <c r="C25" s="27">
        <v>109.91</v>
      </c>
      <c r="D25" s="11">
        <v>5.8</v>
      </c>
      <c r="E25" s="11">
        <f t="shared" si="2"/>
        <v>637</v>
      </c>
    </row>
    <row r="26" spans="1:5">
      <c r="A26" s="26">
        <v>45930</v>
      </c>
      <c r="B26" s="27" t="s">
        <v>172</v>
      </c>
      <c r="C26" s="27">
        <v>216.03</v>
      </c>
      <c r="D26" s="11">
        <v>5.8</v>
      </c>
      <c r="E26" s="11">
        <f t="shared" si="2"/>
        <v>1252</v>
      </c>
    </row>
    <row r="27" spans="1:5">
      <c r="A27" s="26">
        <v>45930</v>
      </c>
      <c r="B27" s="27" t="s">
        <v>167</v>
      </c>
      <c r="C27" s="27">
        <v>241.97</v>
      </c>
      <c r="D27" s="11">
        <v>5.8</v>
      </c>
      <c r="E27" s="11">
        <f t="shared" si="2"/>
        <v>1403</v>
      </c>
    </row>
    <row r="28" spans="1:5">
      <c r="A28" s="26">
        <v>45930</v>
      </c>
      <c r="B28" s="27" t="s">
        <v>169</v>
      </c>
      <c r="C28" s="27">
        <v>195.04</v>
      </c>
      <c r="D28" s="11">
        <v>5.8</v>
      </c>
      <c r="E28" s="11">
        <f t="shared" si="2"/>
        <v>1131</v>
      </c>
    </row>
    <row r="29" spans="1:5">
      <c r="A29" s="26">
        <v>45930</v>
      </c>
      <c r="B29" s="27" t="s">
        <v>170</v>
      </c>
      <c r="C29" s="27">
        <v>167.12</v>
      </c>
      <c r="D29" s="11">
        <v>5.8</v>
      </c>
      <c r="E29" s="11">
        <f t="shared" si="2"/>
        <v>969</v>
      </c>
    </row>
    <row r="30" spans="1:5">
      <c r="A30" s="26">
        <v>45931</v>
      </c>
      <c r="B30" s="27" t="s">
        <v>170</v>
      </c>
      <c r="C30" s="27">
        <v>100.31</v>
      </c>
      <c r="D30" s="11">
        <v>5.8</v>
      </c>
      <c r="E30" s="11">
        <f t="shared" si="2"/>
        <v>581</v>
      </c>
    </row>
    <row r="31" spans="1:5">
      <c r="A31" s="26">
        <v>45931</v>
      </c>
      <c r="B31" s="27" t="s">
        <v>169</v>
      </c>
      <c r="C31" s="27">
        <v>214.16</v>
      </c>
      <c r="D31" s="11">
        <v>5.8</v>
      </c>
      <c r="E31" s="11">
        <f t="shared" si="2"/>
        <v>1242</v>
      </c>
    </row>
    <row r="32" spans="1:5">
      <c r="A32" s="26">
        <v>45931</v>
      </c>
      <c r="B32" s="27" t="s">
        <v>171</v>
      </c>
      <c r="C32" s="27">
        <v>155.73</v>
      </c>
      <c r="D32" s="11">
        <v>5.8</v>
      </c>
      <c r="E32" s="11">
        <f t="shared" si="2"/>
        <v>903</v>
      </c>
    </row>
    <row r="33" spans="1:5">
      <c r="A33" s="26">
        <v>45931</v>
      </c>
      <c r="B33" s="27" t="s">
        <v>170</v>
      </c>
      <c r="C33" s="27">
        <v>186.45</v>
      </c>
      <c r="D33" s="11">
        <v>5.8</v>
      </c>
      <c r="E33" s="11">
        <f t="shared" si="2"/>
        <v>1081</v>
      </c>
    </row>
    <row r="34" spans="1:5">
      <c r="A34" s="26">
        <v>45931</v>
      </c>
      <c r="B34" s="27" t="s">
        <v>168</v>
      </c>
      <c r="C34" s="27">
        <v>220</v>
      </c>
      <c r="D34" s="11">
        <v>5.8</v>
      </c>
      <c r="E34" s="11">
        <f t="shared" si="2"/>
        <v>1276</v>
      </c>
    </row>
    <row r="35" spans="1:5">
      <c r="A35" s="26">
        <v>45932</v>
      </c>
      <c r="B35" s="27" t="s">
        <v>166</v>
      </c>
      <c r="C35" s="27">
        <v>214.49</v>
      </c>
      <c r="D35" s="11">
        <v>5.8</v>
      </c>
      <c r="E35" s="11">
        <f t="shared" ref="E35:E44" si="3">INT(C35*D35)</f>
        <v>1244</v>
      </c>
    </row>
    <row r="36" spans="1:5">
      <c r="A36" s="26">
        <v>45932</v>
      </c>
      <c r="B36" s="27" t="s">
        <v>150</v>
      </c>
      <c r="C36" s="27">
        <v>228.99</v>
      </c>
      <c r="D36" s="11">
        <v>5.8</v>
      </c>
      <c r="E36" s="11">
        <f t="shared" si="3"/>
        <v>1328</v>
      </c>
    </row>
    <row r="37" spans="1:5">
      <c r="A37" s="26">
        <v>45933</v>
      </c>
      <c r="B37" s="27" t="s">
        <v>158</v>
      </c>
      <c r="C37" s="27">
        <v>210.78</v>
      </c>
      <c r="D37" s="11">
        <v>5.8</v>
      </c>
      <c r="E37" s="11">
        <f t="shared" si="3"/>
        <v>1222</v>
      </c>
    </row>
    <row r="38" spans="1:5">
      <c r="A38" s="26">
        <v>45933</v>
      </c>
      <c r="B38" s="27" t="s">
        <v>164</v>
      </c>
      <c r="C38" s="27">
        <v>193.5</v>
      </c>
      <c r="D38" s="11">
        <v>5.8</v>
      </c>
      <c r="E38" s="11">
        <f t="shared" si="3"/>
        <v>1122</v>
      </c>
    </row>
    <row r="39" spans="1:5">
      <c r="A39" s="26">
        <v>45933</v>
      </c>
      <c r="B39" s="27" t="s">
        <v>156</v>
      </c>
      <c r="C39" s="27">
        <v>223</v>
      </c>
      <c r="D39" s="11">
        <v>5.8</v>
      </c>
      <c r="E39" s="11">
        <f t="shared" si="3"/>
        <v>1293</v>
      </c>
    </row>
    <row r="40" spans="1:5">
      <c r="A40" s="26">
        <v>45934</v>
      </c>
      <c r="B40" s="27" t="s">
        <v>165</v>
      </c>
      <c r="C40" s="27">
        <v>229.75</v>
      </c>
      <c r="D40" s="11">
        <v>5.8</v>
      </c>
      <c r="E40" s="11">
        <f t="shared" si="3"/>
        <v>1332</v>
      </c>
    </row>
    <row r="41" spans="1:5">
      <c r="A41" s="26">
        <v>45934</v>
      </c>
      <c r="B41" s="27" t="s">
        <v>165</v>
      </c>
      <c r="C41" s="27">
        <v>195.6</v>
      </c>
      <c r="D41" s="11">
        <v>5.8</v>
      </c>
      <c r="E41" s="11">
        <f t="shared" si="3"/>
        <v>1134</v>
      </c>
    </row>
    <row r="42" spans="1:7">
      <c r="A42" s="26">
        <v>45934</v>
      </c>
      <c r="B42" s="11" t="s">
        <v>158</v>
      </c>
      <c r="C42" s="11">
        <v>188.89</v>
      </c>
      <c r="D42" s="11">
        <v>5.8</v>
      </c>
      <c r="E42" s="11">
        <f t="shared" si="3"/>
        <v>1095</v>
      </c>
      <c r="G42" t="s">
        <v>173</v>
      </c>
    </row>
    <row r="43" spans="1:5">
      <c r="A43" s="26">
        <v>45934</v>
      </c>
      <c r="B43" s="11" t="s">
        <v>157</v>
      </c>
      <c r="C43" s="11">
        <v>196.91</v>
      </c>
      <c r="D43" s="11">
        <v>5.8</v>
      </c>
      <c r="E43" s="11">
        <f t="shared" si="3"/>
        <v>1142</v>
      </c>
    </row>
    <row r="44" spans="1:5">
      <c r="A44" s="26">
        <v>45934</v>
      </c>
      <c r="B44" s="11" t="s">
        <v>156</v>
      </c>
      <c r="C44" s="11">
        <v>114</v>
      </c>
      <c r="D44" s="11">
        <v>5.8</v>
      </c>
      <c r="E44" s="11">
        <f t="shared" si="3"/>
        <v>661</v>
      </c>
    </row>
    <row r="45" spans="4:6">
      <c r="D45" s="11"/>
      <c r="E45" s="11"/>
      <c r="F45">
        <f>SUM(E35:E44)</f>
        <v>11573</v>
      </c>
    </row>
    <row r="46" spans="1:5">
      <c r="A46" s="26">
        <v>45935</v>
      </c>
      <c r="B46" s="27" t="s">
        <v>167</v>
      </c>
      <c r="C46" s="27">
        <v>209.13</v>
      </c>
      <c r="D46" s="11">
        <v>5.8</v>
      </c>
      <c r="E46" s="11">
        <f t="shared" ref="E45:E52" si="4">INT(C46*D46)</f>
        <v>1212</v>
      </c>
    </row>
    <row r="47" spans="1:5">
      <c r="A47" s="26">
        <v>45935</v>
      </c>
      <c r="B47" s="27" t="s">
        <v>171</v>
      </c>
      <c r="C47" s="27">
        <v>182.67</v>
      </c>
      <c r="D47" s="11">
        <v>5.8</v>
      </c>
      <c r="E47" s="11">
        <f t="shared" si="4"/>
        <v>1059</v>
      </c>
    </row>
    <row r="48" spans="1:5">
      <c r="A48" s="26">
        <v>45936</v>
      </c>
      <c r="B48" s="27" t="s">
        <v>168</v>
      </c>
      <c r="C48" s="27">
        <v>215</v>
      </c>
      <c r="D48" s="11">
        <v>5.8</v>
      </c>
      <c r="E48" s="11">
        <f t="shared" si="4"/>
        <v>1247</v>
      </c>
    </row>
    <row r="49" spans="1:5">
      <c r="A49" s="26">
        <v>45937</v>
      </c>
      <c r="B49" s="27" t="s">
        <v>167</v>
      </c>
      <c r="C49" s="27">
        <v>108.36</v>
      </c>
      <c r="D49" s="11">
        <v>5.8</v>
      </c>
      <c r="E49" s="11">
        <f t="shared" si="4"/>
        <v>628</v>
      </c>
    </row>
    <row r="50" spans="1:5">
      <c r="A50" s="26">
        <v>45937</v>
      </c>
      <c r="B50" s="27" t="s">
        <v>174</v>
      </c>
      <c r="C50" s="27">
        <v>183</v>
      </c>
      <c r="D50" s="11">
        <v>5.8</v>
      </c>
      <c r="E50" s="11">
        <f t="shared" si="4"/>
        <v>1061</v>
      </c>
    </row>
    <row r="51" spans="1:5">
      <c r="A51" s="26">
        <v>45938</v>
      </c>
      <c r="B51" s="27" t="s">
        <v>175</v>
      </c>
      <c r="C51" s="27">
        <v>234.93</v>
      </c>
      <c r="D51" s="11">
        <v>5.8</v>
      </c>
      <c r="E51" s="11">
        <f t="shared" si="4"/>
        <v>1362</v>
      </c>
    </row>
    <row r="52" spans="1:5">
      <c r="A52" s="26">
        <v>45938</v>
      </c>
      <c r="B52" s="27" t="s">
        <v>168</v>
      </c>
      <c r="C52" s="27">
        <v>161</v>
      </c>
      <c r="D52" s="11">
        <v>5.8</v>
      </c>
      <c r="E52" s="11">
        <f t="shared" si="4"/>
        <v>933</v>
      </c>
    </row>
    <row r="53" spans="4:6">
      <c r="D53" s="11"/>
      <c r="E53" s="11"/>
      <c r="F53">
        <f>SUM(E46:E52)</f>
        <v>7502</v>
      </c>
    </row>
    <row r="54" spans="1:5">
      <c r="A54" s="26">
        <v>45939</v>
      </c>
      <c r="B54" s="27" t="s">
        <v>170</v>
      </c>
      <c r="C54" s="27">
        <v>156.59</v>
      </c>
      <c r="D54" s="11">
        <v>5.8</v>
      </c>
      <c r="E54" s="11">
        <f t="shared" ref="E53:E62" si="5">INT(C54*D54)</f>
        <v>908</v>
      </c>
    </row>
    <row r="55" spans="1:5">
      <c r="A55" s="26">
        <v>45939</v>
      </c>
      <c r="B55" s="27" t="s">
        <v>167</v>
      </c>
      <c r="C55" s="27">
        <v>280</v>
      </c>
      <c r="D55" s="11">
        <v>5.8</v>
      </c>
      <c r="E55" s="11">
        <f t="shared" si="5"/>
        <v>1624</v>
      </c>
    </row>
    <row r="56" spans="1:5">
      <c r="A56" s="26">
        <v>45939</v>
      </c>
      <c r="B56" s="27" t="s">
        <v>169</v>
      </c>
      <c r="C56" s="27">
        <v>222.38</v>
      </c>
      <c r="D56" s="11">
        <v>5.8</v>
      </c>
      <c r="E56" s="11">
        <f t="shared" si="5"/>
        <v>1289</v>
      </c>
    </row>
    <row r="57" spans="1:5">
      <c r="A57" s="26">
        <v>45939</v>
      </c>
      <c r="B57" s="27" t="s">
        <v>171</v>
      </c>
      <c r="C57" s="27">
        <v>139.32</v>
      </c>
      <c r="D57" s="11">
        <v>5.8</v>
      </c>
      <c r="E57" s="11">
        <f t="shared" si="5"/>
        <v>808</v>
      </c>
    </row>
    <row r="58" spans="1:5">
      <c r="A58" s="26">
        <v>45940</v>
      </c>
      <c r="B58" s="27" t="s">
        <v>174</v>
      </c>
      <c r="C58" s="27">
        <v>201.14</v>
      </c>
      <c r="D58" s="11">
        <v>5.8</v>
      </c>
      <c r="E58" s="11">
        <f t="shared" si="5"/>
        <v>1166</v>
      </c>
    </row>
    <row r="59" spans="1:5">
      <c r="A59" s="26">
        <v>45940</v>
      </c>
      <c r="B59" s="27" t="s">
        <v>176</v>
      </c>
      <c r="C59" s="27">
        <v>268.12</v>
      </c>
      <c r="D59" s="11">
        <v>5.8</v>
      </c>
      <c r="E59" s="11">
        <f t="shared" si="5"/>
        <v>1555</v>
      </c>
    </row>
    <row r="60" spans="1:5">
      <c r="A60" s="26">
        <v>45940</v>
      </c>
      <c r="B60" s="27" t="s">
        <v>177</v>
      </c>
      <c r="C60" s="27">
        <v>245.7</v>
      </c>
      <c r="D60" s="11">
        <v>5.8</v>
      </c>
      <c r="E60" s="11">
        <f t="shared" si="5"/>
        <v>1425</v>
      </c>
    </row>
    <row r="61" spans="1:5">
      <c r="A61" s="26">
        <v>45940</v>
      </c>
      <c r="B61" s="27" t="s">
        <v>167</v>
      </c>
      <c r="C61" s="27">
        <v>216.72</v>
      </c>
      <c r="D61" s="11">
        <v>5.8</v>
      </c>
      <c r="E61" s="11">
        <f t="shared" si="5"/>
        <v>1256</v>
      </c>
    </row>
    <row r="62" spans="1:5">
      <c r="A62" s="26">
        <v>45940</v>
      </c>
      <c r="B62" s="27" t="s">
        <v>168</v>
      </c>
      <c r="C62" s="27">
        <v>225</v>
      </c>
      <c r="D62" s="11">
        <v>5.8</v>
      </c>
      <c r="E62" s="11">
        <f t="shared" si="5"/>
        <v>1305</v>
      </c>
    </row>
    <row r="63" spans="4:6">
      <c r="D63" s="11"/>
      <c r="E63" s="11">
        <f t="shared" ref="E63:E71" si="6">INT(C63*D63)</f>
        <v>0</v>
      </c>
      <c r="F63">
        <f>SUM(E54:E62)</f>
        <v>11336</v>
      </c>
    </row>
    <row r="64" spans="1:5">
      <c r="A64" s="26">
        <v>45941</v>
      </c>
      <c r="B64" s="27" t="s">
        <v>172</v>
      </c>
      <c r="C64" s="27">
        <v>195.01</v>
      </c>
      <c r="D64" s="11">
        <v>5.8</v>
      </c>
      <c r="E64" s="11">
        <f t="shared" si="6"/>
        <v>1131</v>
      </c>
    </row>
    <row r="65" spans="1:5">
      <c r="A65" s="26">
        <v>45941</v>
      </c>
      <c r="B65" s="27" t="s">
        <v>169</v>
      </c>
      <c r="C65" s="27">
        <v>239.49</v>
      </c>
      <c r="D65" s="11">
        <v>5.8</v>
      </c>
      <c r="E65" s="11">
        <f t="shared" si="6"/>
        <v>1389</v>
      </c>
    </row>
    <row r="66" spans="1:5">
      <c r="A66" s="26">
        <v>45941</v>
      </c>
      <c r="B66" s="27" t="s">
        <v>170</v>
      </c>
      <c r="C66" s="27">
        <v>220.73</v>
      </c>
      <c r="D66" s="11">
        <v>5.8</v>
      </c>
      <c r="E66" s="11">
        <f t="shared" si="6"/>
        <v>1280</v>
      </c>
    </row>
    <row r="67" spans="1:5">
      <c r="A67" s="26">
        <v>45942</v>
      </c>
      <c r="B67" s="27" t="s">
        <v>172</v>
      </c>
      <c r="C67" s="27">
        <v>184.99</v>
      </c>
      <c r="D67" s="11">
        <v>5.8</v>
      </c>
      <c r="E67" s="11">
        <f t="shared" si="6"/>
        <v>1072</v>
      </c>
    </row>
    <row r="68" spans="1:5">
      <c r="A68" s="26">
        <v>45942</v>
      </c>
      <c r="B68" s="27" t="s">
        <v>167</v>
      </c>
      <c r="C68" s="27">
        <v>242.87</v>
      </c>
      <c r="D68" s="11">
        <v>5.8</v>
      </c>
      <c r="E68" s="11">
        <f t="shared" si="6"/>
        <v>1408</v>
      </c>
    </row>
    <row r="69" spans="1:5">
      <c r="A69" s="26">
        <v>45942</v>
      </c>
      <c r="B69" s="27" t="s">
        <v>169</v>
      </c>
      <c r="C69" s="27">
        <v>186.41</v>
      </c>
      <c r="D69" s="11">
        <v>5.8</v>
      </c>
      <c r="E69" s="11">
        <f t="shared" si="6"/>
        <v>1081</v>
      </c>
    </row>
    <row r="70" spans="1:5">
      <c r="A70" s="26">
        <v>45942</v>
      </c>
      <c r="B70" s="27" t="s">
        <v>170</v>
      </c>
      <c r="C70" s="27">
        <v>204.94</v>
      </c>
      <c r="D70" s="11">
        <v>5.8</v>
      </c>
      <c r="E70" s="11">
        <f t="shared" si="6"/>
        <v>1188</v>
      </c>
    </row>
    <row r="71" spans="1:5">
      <c r="A71" s="26">
        <v>45942</v>
      </c>
      <c r="B71" s="27" t="s">
        <v>168</v>
      </c>
      <c r="C71" s="27">
        <v>218</v>
      </c>
      <c r="D71" s="11">
        <v>5.8</v>
      </c>
      <c r="E71" s="11">
        <f t="shared" si="6"/>
        <v>1264</v>
      </c>
    </row>
    <row r="72" spans="5:5">
      <c r="E72">
        <f>SUM(E64:E71)</f>
        <v>9813</v>
      </c>
    </row>
  </sheetData>
  <mergeCells count="1">
    <mergeCell ref="B1:D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K123"/>
  <sheetViews>
    <sheetView topLeftCell="A96" workbookViewId="0">
      <selection activeCell="A102" sqref="A102:E123"/>
    </sheetView>
  </sheetViews>
  <sheetFormatPr defaultColWidth="9" defaultRowHeight="14.25"/>
  <cols>
    <col min="1" max="1" width="9.86666666666667"/>
    <col min="2" max="2" width="12" customWidth="1"/>
  </cols>
  <sheetData>
    <row r="1" ht="20.25" spans="1:7">
      <c r="A1" s="1" t="s">
        <v>0</v>
      </c>
      <c r="B1" s="2" t="s">
        <v>178</v>
      </c>
      <c r="C1" s="3"/>
      <c r="D1" s="4"/>
      <c r="E1" s="32"/>
      <c r="F1" s="6">
        <v>5.8</v>
      </c>
      <c r="G1" s="33"/>
    </row>
    <row r="2" spans="1:11">
      <c r="A2" s="11" t="s">
        <v>179</v>
      </c>
      <c r="B2" s="11" t="s">
        <v>180</v>
      </c>
      <c r="C2" s="30" t="s">
        <v>181</v>
      </c>
      <c r="D2" s="14" t="s">
        <v>182</v>
      </c>
      <c r="E2" s="14" t="s">
        <v>183</v>
      </c>
      <c r="F2" s="34"/>
      <c r="G2" s="11"/>
      <c r="K2" s="29" t="str" cm="1">
        <f t="array" ref="K2:K11">_xlfn.TOCOL(A2:E3)</f>
        <v>粤AHA075</v>
      </c>
    </row>
    <row r="3" spans="1:11">
      <c r="A3" s="29" t="s">
        <v>184</v>
      </c>
      <c r="B3" s="14" t="s">
        <v>185</v>
      </c>
      <c r="C3" s="30" t="s">
        <v>186</v>
      </c>
      <c r="D3" s="14"/>
      <c r="E3" s="14"/>
      <c r="F3" s="14"/>
      <c r="G3" s="14"/>
      <c r="K3" t="str">
        <v>粤AGX555</v>
      </c>
    </row>
    <row r="4" spans="1:11">
      <c r="A4" s="11"/>
      <c r="B4" s="11"/>
      <c r="C4" s="30"/>
      <c r="D4" s="14"/>
      <c r="E4" s="14"/>
      <c r="F4" s="14"/>
      <c r="G4" s="14"/>
      <c r="K4" t="str">
        <v>粤AGH558</v>
      </c>
    </row>
    <row r="5" spans="1:11">
      <c r="A5" s="29"/>
      <c r="B5" s="14"/>
      <c r="C5" s="30"/>
      <c r="D5" s="14"/>
      <c r="E5" s="14"/>
      <c r="F5" s="11"/>
      <c r="G5" s="14"/>
      <c r="K5" t="str">
        <v>粤AHQ400</v>
      </c>
    </row>
    <row r="6" spans="1:11">
      <c r="A6" s="11"/>
      <c r="B6" s="11"/>
      <c r="C6" s="11"/>
      <c r="D6" s="11"/>
      <c r="E6" s="11"/>
      <c r="F6" s="11"/>
      <c r="G6" s="14"/>
      <c r="K6" t="str">
        <v>粤AHH648</v>
      </c>
    </row>
    <row r="7" spans="1:11">
      <c r="A7" s="29"/>
      <c r="B7" s="14"/>
      <c r="C7" s="30"/>
      <c r="D7" s="14"/>
      <c r="E7" s="14"/>
      <c r="F7" s="11"/>
      <c r="G7" s="14"/>
      <c r="K7" t="str">
        <v>粤AHH492</v>
      </c>
    </row>
    <row r="8" spans="1:11">
      <c r="A8" s="29"/>
      <c r="B8" s="14"/>
      <c r="C8" s="30"/>
      <c r="D8" s="14"/>
      <c r="E8" s="14"/>
      <c r="F8" s="11"/>
      <c r="G8" s="14"/>
      <c r="K8" t="str">
        <v>粤AGP711</v>
      </c>
    </row>
    <row r="9" spans="1:11">
      <c r="A9" s="29"/>
      <c r="B9" s="14"/>
      <c r="C9" s="30"/>
      <c r="D9" s="14"/>
      <c r="E9" s="14"/>
      <c r="F9" s="14"/>
      <c r="G9" s="14"/>
      <c r="K9" t="str">
        <v>粤AHC721</v>
      </c>
    </row>
    <row r="10" spans="11:11">
      <c r="K10">
        <v>0</v>
      </c>
    </row>
    <row r="11" spans="1:11">
      <c r="A11" s="20" t="s">
        <v>19</v>
      </c>
      <c r="B11" s="21" t="s">
        <v>20</v>
      </c>
      <c r="C11" s="22" t="s">
        <v>21</v>
      </c>
      <c r="D11" s="21" t="s">
        <v>22</v>
      </c>
      <c r="E11" s="21" t="s">
        <v>23</v>
      </c>
      <c r="F11" s="21" t="s">
        <v>24</v>
      </c>
      <c r="G11" s="21" t="s">
        <v>25</v>
      </c>
      <c r="K11">
        <v>0</v>
      </c>
    </row>
    <row r="12" spans="1:7">
      <c r="A12" s="23">
        <v>45923</v>
      </c>
      <c r="B12" s="24" t="s">
        <v>187</v>
      </c>
      <c r="C12" s="24">
        <v>148.38</v>
      </c>
      <c r="D12" s="11">
        <v>5.8</v>
      </c>
      <c r="E12" s="11">
        <f t="shared" ref="E12" si="0">INT(C12*D12)</f>
        <v>860</v>
      </c>
      <c r="F12" s="13"/>
      <c r="G12" s="13"/>
    </row>
    <row r="13" spans="1:7">
      <c r="A13" s="23">
        <v>45923</v>
      </c>
      <c r="B13" s="24" t="s">
        <v>188</v>
      </c>
      <c r="C13" s="24">
        <v>174.98</v>
      </c>
      <c r="D13" s="11">
        <v>5.8</v>
      </c>
      <c r="E13" s="11">
        <f t="shared" ref="E13:E19" si="1">INT(C13*D13)</f>
        <v>1014</v>
      </c>
      <c r="F13" s="13"/>
      <c r="G13" s="13"/>
    </row>
    <row r="14" spans="1:7">
      <c r="A14" s="23">
        <v>45923</v>
      </c>
      <c r="B14" s="24" t="s">
        <v>189</v>
      </c>
      <c r="C14" s="24">
        <v>131.6</v>
      </c>
      <c r="D14" s="11">
        <v>5.8</v>
      </c>
      <c r="E14" s="11">
        <f t="shared" si="1"/>
        <v>763</v>
      </c>
      <c r="F14" s="13"/>
      <c r="G14" s="13"/>
    </row>
    <row r="15" spans="1:7">
      <c r="A15" s="23">
        <v>45923</v>
      </c>
      <c r="B15" s="24" t="s">
        <v>190</v>
      </c>
      <c r="C15" s="24">
        <v>191.81</v>
      </c>
      <c r="D15" s="11">
        <v>5.8</v>
      </c>
      <c r="E15" s="11">
        <f t="shared" si="1"/>
        <v>1112</v>
      </c>
      <c r="F15" s="13"/>
      <c r="G15" s="13"/>
    </row>
    <row r="16" spans="1:7">
      <c r="A16" s="23">
        <v>45923</v>
      </c>
      <c r="B16" s="24" t="s">
        <v>191</v>
      </c>
      <c r="C16" s="24">
        <v>158.19</v>
      </c>
      <c r="D16" s="11">
        <v>5.8</v>
      </c>
      <c r="E16" s="11">
        <f t="shared" si="1"/>
        <v>917</v>
      </c>
      <c r="F16" s="13"/>
      <c r="G16" s="13"/>
    </row>
    <row r="17" spans="1:7">
      <c r="A17" s="23">
        <v>45923</v>
      </c>
      <c r="B17" s="24" t="s">
        <v>192</v>
      </c>
      <c r="C17" s="24">
        <v>146.58</v>
      </c>
      <c r="D17" s="11">
        <v>5.8</v>
      </c>
      <c r="E17" s="11">
        <f t="shared" si="1"/>
        <v>850</v>
      </c>
      <c r="F17" s="13"/>
      <c r="G17" s="13"/>
    </row>
    <row r="18" spans="1:7">
      <c r="A18" s="23">
        <v>45923</v>
      </c>
      <c r="B18" s="24" t="s">
        <v>193</v>
      </c>
      <c r="C18" s="24">
        <v>236</v>
      </c>
      <c r="D18" s="11">
        <v>5.8</v>
      </c>
      <c r="E18" s="11">
        <f t="shared" si="1"/>
        <v>1368</v>
      </c>
      <c r="F18" s="13"/>
      <c r="G18" s="13"/>
    </row>
    <row r="19" spans="1:7">
      <c r="A19" s="23">
        <v>45925</v>
      </c>
      <c r="B19" s="24" t="s">
        <v>194</v>
      </c>
      <c r="C19" s="24">
        <v>241.14</v>
      </c>
      <c r="D19" s="11">
        <v>5.8</v>
      </c>
      <c r="E19" s="11">
        <f t="shared" si="1"/>
        <v>1398</v>
      </c>
      <c r="F19" s="13"/>
      <c r="G19" s="13"/>
    </row>
    <row r="20" spans="1:7">
      <c r="A20" s="26">
        <v>45926</v>
      </c>
      <c r="B20" s="27" t="s">
        <v>188</v>
      </c>
      <c r="C20" s="27">
        <v>118.34</v>
      </c>
      <c r="D20" s="11">
        <v>5.8</v>
      </c>
      <c r="E20" s="11">
        <f t="shared" ref="E20:E37" si="2">INT(C20*D20)</f>
        <v>686</v>
      </c>
      <c r="F20" s="13"/>
      <c r="G20" s="13"/>
    </row>
    <row r="21" spans="1:7">
      <c r="A21" s="26">
        <v>45926</v>
      </c>
      <c r="B21" s="27" t="s">
        <v>190</v>
      </c>
      <c r="C21" s="27">
        <v>85.18</v>
      </c>
      <c r="D21" s="11">
        <v>5.8</v>
      </c>
      <c r="E21" s="11">
        <f t="shared" si="2"/>
        <v>494</v>
      </c>
      <c r="F21" s="13"/>
      <c r="G21" s="13"/>
    </row>
    <row r="22" spans="1:7">
      <c r="A22" s="26">
        <v>45926</v>
      </c>
      <c r="B22" s="27" t="s">
        <v>193</v>
      </c>
      <c r="C22" s="27">
        <v>211.23</v>
      </c>
      <c r="D22" s="11">
        <v>5.8</v>
      </c>
      <c r="E22" s="11">
        <f t="shared" si="2"/>
        <v>1225</v>
      </c>
      <c r="F22" s="13"/>
      <c r="G22" s="13"/>
    </row>
    <row r="23" spans="1:7">
      <c r="A23" s="26">
        <v>45926</v>
      </c>
      <c r="B23" s="27" t="s">
        <v>191</v>
      </c>
      <c r="C23" s="27">
        <v>163.6</v>
      </c>
      <c r="D23" s="11">
        <v>5.8</v>
      </c>
      <c r="E23" s="11">
        <f t="shared" si="2"/>
        <v>948</v>
      </c>
      <c r="F23" s="13"/>
      <c r="G23" s="13"/>
    </row>
    <row r="24" spans="1:7">
      <c r="A24" s="26">
        <v>45926</v>
      </c>
      <c r="B24" s="27" t="s">
        <v>187</v>
      </c>
      <c r="C24" s="27">
        <v>114</v>
      </c>
      <c r="D24" s="11">
        <v>5.8</v>
      </c>
      <c r="E24" s="11">
        <f t="shared" si="2"/>
        <v>661</v>
      </c>
      <c r="F24" s="13"/>
      <c r="G24" s="13"/>
    </row>
    <row r="25" spans="1:7">
      <c r="A25" s="26">
        <v>45927</v>
      </c>
      <c r="B25" s="27" t="s">
        <v>194</v>
      </c>
      <c r="C25" s="27">
        <v>190.53</v>
      </c>
      <c r="D25" s="11">
        <v>5.8</v>
      </c>
      <c r="E25" s="11">
        <f t="shared" si="2"/>
        <v>1105</v>
      </c>
      <c r="F25" s="13"/>
      <c r="G25" s="13"/>
    </row>
    <row r="26" spans="1:5">
      <c r="A26" s="26">
        <v>45927</v>
      </c>
      <c r="B26" s="27" t="s">
        <v>193</v>
      </c>
      <c r="C26" s="27">
        <v>140.08</v>
      </c>
      <c r="D26" s="11">
        <v>5.8</v>
      </c>
      <c r="E26" s="11">
        <f t="shared" si="2"/>
        <v>812</v>
      </c>
    </row>
    <row r="27" spans="1:5">
      <c r="A27" s="26">
        <v>45927</v>
      </c>
      <c r="B27" s="27" t="s">
        <v>187</v>
      </c>
      <c r="C27" s="27">
        <v>80.02</v>
      </c>
      <c r="D27" s="11">
        <v>5.8</v>
      </c>
      <c r="E27" s="11">
        <f t="shared" si="2"/>
        <v>464</v>
      </c>
    </row>
    <row r="28" spans="1:5">
      <c r="A28" s="26">
        <v>45927</v>
      </c>
      <c r="B28" s="27" t="s">
        <v>190</v>
      </c>
      <c r="C28" s="27">
        <v>170.9</v>
      </c>
      <c r="D28" s="11">
        <v>5.8</v>
      </c>
      <c r="E28" s="11">
        <f t="shared" si="2"/>
        <v>991</v>
      </c>
    </row>
    <row r="29" spans="1:5">
      <c r="A29" s="26">
        <v>45927</v>
      </c>
      <c r="B29" s="27" t="s">
        <v>192</v>
      </c>
      <c r="C29" s="27">
        <v>196.5</v>
      </c>
      <c r="D29" s="11">
        <v>5.8</v>
      </c>
      <c r="E29" s="11">
        <f t="shared" si="2"/>
        <v>1139</v>
      </c>
    </row>
    <row r="30" spans="1:5">
      <c r="A30" s="26">
        <v>45927</v>
      </c>
      <c r="B30" s="27" t="s">
        <v>189</v>
      </c>
      <c r="C30" s="27">
        <v>189.78</v>
      </c>
      <c r="D30" s="11">
        <v>5.8</v>
      </c>
      <c r="E30" s="11">
        <f t="shared" si="2"/>
        <v>1100</v>
      </c>
    </row>
    <row r="31" spans="1:5">
      <c r="A31" s="26">
        <v>45928</v>
      </c>
      <c r="B31" s="27" t="s">
        <v>193</v>
      </c>
      <c r="C31" s="27">
        <v>163.53</v>
      </c>
      <c r="D31" s="11">
        <v>5.8</v>
      </c>
      <c r="E31" s="11">
        <f t="shared" si="2"/>
        <v>948</v>
      </c>
    </row>
    <row r="32" spans="1:5">
      <c r="A32" s="26">
        <v>45928</v>
      </c>
      <c r="B32" s="27" t="s">
        <v>187</v>
      </c>
      <c r="C32" s="27">
        <v>109.71</v>
      </c>
      <c r="D32" s="11">
        <v>5.8</v>
      </c>
      <c r="E32" s="11">
        <f t="shared" si="2"/>
        <v>636</v>
      </c>
    </row>
    <row r="33" spans="1:5">
      <c r="A33" s="26">
        <v>45928</v>
      </c>
      <c r="B33" s="27" t="s">
        <v>191</v>
      </c>
      <c r="C33" s="27">
        <v>190.76</v>
      </c>
      <c r="D33" s="11">
        <v>5.8</v>
      </c>
      <c r="E33" s="11">
        <f t="shared" si="2"/>
        <v>1106</v>
      </c>
    </row>
    <row r="34" spans="1:5">
      <c r="A34" s="26">
        <v>45928</v>
      </c>
      <c r="B34" s="27" t="s">
        <v>188</v>
      </c>
      <c r="C34" s="27">
        <v>186.05</v>
      </c>
      <c r="D34" s="11">
        <v>5.8</v>
      </c>
      <c r="E34" s="11">
        <f t="shared" si="2"/>
        <v>1079</v>
      </c>
    </row>
    <row r="35" spans="1:5">
      <c r="A35" s="26">
        <v>45928</v>
      </c>
      <c r="B35" s="27" t="s">
        <v>190</v>
      </c>
      <c r="C35" s="27">
        <v>130.19</v>
      </c>
      <c r="D35" s="11">
        <v>5.8</v>
      </c>
      <c r="E35" s="11">
        <f t="shared" si="2"/>
        <v>755</v>
      </c>
    </row>
    <row r="36" spans="1:5">
      <c r="A36" s="26">
        <v>45928</v>
      </c>
      <c r="B36" s="27" t="s">
        <v>192</v>
      </c>
      <c r="C36" s="27">
        <v>133.1</v>
      </c>
      <c r="D36" s="11">
        <v>5.8</v>
      </c>
      <c r="E36" s="11">
        <f t="shared" si="2"/>
        <v>771</v>
      </c>
    </row>
    <row r="37" s="35" customFormat="1" spans="1:5">
      <c r="A37" s="37">
        <v>45928</v>
      </c>
      <c r="B37" s="38" t="s">
        <v>189</v>
      </c>
      <c r="C37" s="38">
        <v>134.83</v>
      </c>
      <c r="D37" s="39">
        <v>5.8</v>
      </c>
      <c r="E37" s="39">
        <f t="shared" si="2"/>
        <v>782</v>
      </c>
    </row>
    <row r="38" spans="1:5">
      <c r="A38" s="26">
        <v>45929</v>
      </c>
      <c r="B38" s="27" t="s">
        <v>188</v>
      </c>
      <c r="C38" s="27">
        <v>168.64</v>
      </c>
      <c r="D38" s="11">
        <v>5.8</v>
      </c>
      <c r="E38" s="11">
        <f t="shared" ref="E38:E49" si="3">INT(C38*D38)</f>
        <v>978</v>
      </c>
    </row>
    <row r="39" spans="1:5">
      <c r="A39" s="26">
        <v>45929</v>
      </c>
      <c r="B39" s="27" t="s">
        <v>190</v>
      </c>
      <c r="C39" s="27">
        <v>85.61</v>
      </c>
      <c r="D39" s="11">
        <v>5.8</v>
      </c>
      <c r="E39" s="11">
        <f t="shared" si="3"/>
        <v>496</v>
      </c>
    </row>
    <row r="40" spans="1:5">
      <c r="A40" s="26">
        <v>45929</v>
      </c>
      <c r="B40" s="27" t="s">
        <v>189</v>
      </c>
      <c r="C40" s="27">
        <v>71</v>
      </c>
      <c r="D40" s="11">
        <v>5.8</v>
      </c>
      <c r="E40" s="11">
        <f t="shared" si="3"/>
        <v>411</v>
      </c>
    </row>
    <row r="41" spans="1:5">
      <c r="A41" s="26">
        <v>45929</v>
      </c>
      <c r="B41" s="27" t="s">
        <v>191</v>
      </c>
      <c r="C41" s="27">
        <v>179.78</v>
      </c>
      <c r="D41" s="11">
        <v>5.8</v>
      </c>
      <c r="E41" s="11">
        <f t="shared" si="3"/>
        <v>1042</v>
      </c>
    </row>
    <row r="42" spans="1:5">
      <c r="A42" s="26">
        <v>45929</v>
      </c>
      <c r="B42" s="27" t="s">
        <v>194</v>
      </c>
      <c r="C42" s="27">
        <v>185.76</v>
      </c>
      <c r="D42" s="11">
        <v>5.8</v>
      </c>
      <c r="E42" s="11">
        <f t="shared" si="3"/>
        <v>1077</v>
      </c>
    </row>
    <row r="43" spans="1:5">
      <c r="A43" s="26">
        <v>45929</v>
      </c>
      <c r="B43" s="27" t="s">
        <v>193</v>
      </c>
      <c r="C43" s="27">
        <v>152.28</v>
      </c>
      <c r="D43" s="11">
        <v>5.8</v>
      </c>
      <c r="E43" s="11">
        <f t="shared" si="3"/>
        <v>883</v>
      </c>
    </row>
    <row r="44" spans="1:5">
      <c r="A44" s="26">
        <v>45930</v>
      </c>
      <c r="B44" s="27" t="s">
        <v>193</v>
      </c>
      <c r="C44" s="27">
        <v>114.79</v>
      </c>
      <c r="D44" s="11">
        <v>5.8</v>
      </c>
      <c r="E44" s="11">
        <f t="shared" si="3"/>
        <v>665</v>
      </c>
    </row>
    <row r="45" spans="1:5">
      <c r="A45" s="26">
        <v>45930</v>
      </c>
      <c r="B45" s="27" t="s">
        <v>187</v>
      </c>
      <c r="C45" s="27">
        <v>176.54</v>
      </c>
      <c r="D45" s="11">
        <v>5.8</v>
      </c>
      <c r="E45" s="11">
        <f t="shared" si="3"/>
        <v>1023</v>
      </c>
    </row>
    <row r="46" spans="1:5">
      <c r="A46" s="26">
        <v>45930</v>
      </c>
      <c r="B46" s="27" t="s">
        <v>192</v>
      </c>
      <c r="C46" s="27">
        <v>162.9</v>
      </c>
      <c r="D46" s="11">
        <v>5.8</v>
      </c>
      <c r="E46" s="11">
        <f t="shared" si="3"/>
        <v>944</v>
      </c>
    </row>
    <row r="47" spans="1:5">
      <c r="A47" s="26">
        <v>45930</v>
      </c>
      <c r="B47" s="27" t="s">
        <v>190</v>
      </c>
      <c r="C47" s="27">
        <v>155.18</v>
      </c>
      <c r="D47" s="11">
        <v>5.8</v>
      </c>
      <c r="E47" s="11">
        <f t="shared" si="3"/>
        <v>900</v>
      </c>
    </row>
    <row r="48" spans="1:5">
      <c r="A48" s="26">
        <v>45930</v>
      </c>
      <c r="B48" s="27" t="s">
        <v>189</v>
      </c>
      <c r="C48" s="27">
        <v>71.72</v>
      </c>
      <c r="D48" s="11">
        <v>5.8</v>
      </c>
      <c r="E48" s="11">
        <f t="shared" si="3"/>
        <v>415</v>
      </c>
    </row>
    <row r="49" spans="1:5">
      <c r="A49" s="26">
        <v>45931</v>
      </c>
      <c r="B49" s="27" t="s">
        <v>194</v>
      </c>
      <c r="C49" s="27">
        <v>232.15</v>
      </c>
      <c r="D49" s="11">
        <v>5.8</v>
      </c>
      <c r="E49" s="11">
        <f t="shared" si="3"/>
        <v>1346</v>
      </c>
    </row>
    <row r="50" spans="1:5">
      <c r="A50" s="26">
        <v>45932</v>
      </c>
      <c r="B50" s="27" t="s">
        <v>192</v>
      </c>
      <c r="C50" s="27">
        <v>185.19</v>
      </c>
      <c r="D50" s="11">
        <v>5.8</v>
      </c>
      <c r="E50" s="11">
        <f t="shared" ref="E50:E72" si="4">INT(C50*D50)</f>
        <v>1074</v>
      </c>
    </row>
    <row r="51" spans="1:5">
      <c r="A51" s="26">
        <v>45932</v>
      </c>
      <c r="B51" s="27" t="s">
        <v>192</v>
      </c>
      <c r="C51" s="27">
        <v>0</v>
      </c>
      <c r="D51" s="11">
        <v>5.8</v>
      </c>
      <c r="E51" s="11">
        <f t="shared" si="4"/>
        <v>0</v>
      </c>
    </row>
    <row r="52" spans="1:5">
      <c r="A52" s="26">
        <v>45932</v>
      </c>
      <c r="B52" s="27" t="s">
        <v>188</v>
      </c>
      <c r="C52" s="27">
        <v>152.98</v>
      </c>
      <c r="D52" s="11">
        <v>5.8</v>
      </c>
      <c r="E52" s="11">
        <f t="shared" si="4"/>
        <v>887</v>
      </c>
    </row>
    <row r="53" spans="1:5">
      <c r="A53" s="26">
        <v>45932</v>
      </c>
      <c r="B53" s="27" t="s">
        <v>191</v>
      </c>
      <c r="C53" s="27">
        <v>196.59</v>
      </c>
      <c r="D53" s="11">
        <v>5.8</v>
      </c>
      <c r="E53" s="11">
        <f t="shared" si="4"/>
        <v>1140</v>
      </c>
    </row>
    <row r="54" spans="1:5">
      <c r="A54" s="26">
        <v>45932</v>
      </c>
      <c r="B54" s="27" t="s">
        <v>190</v>
      </c>
      <c r="C54" s="27">
        <v>108.23</v>
      </c>
      <c r="D54" s="11">
        <v>5.8</v>
      </c>
      <c r="E54" s="11">
        <f t="shared" si="4"/>
        <v>627</v>
      </c>
    </row>
    <row r="55" spans="1:5">
      <c r="A55" s="26">
        <v>45932</v>
      </c>
      <c r="B55" s="27" t="s">
        <v>187</v>
      </c>
      <c r="C55" s="27">
        <v>98.94</v>
      </c>
      <c r="D55" s="11">
        <v>5.8</v>
      </c>
      <c r="E55" s="11">
        <f t="shared" si="4"/>
        <v>573</v>
      </c>
    </row>
    <row r="56" spans="1:5">
      <c r="A56" s="26">
        <v>45932</v>
      </c>
      <c r="B56" s="27" t="s">
        <v>189</v>
      </c>
      <c r="C56" s="27">
        <v>113.56</v>
      </c>
      <c r="D56" s="11">
        <v>5.8</v>
      </c>
      <c r="E56" s="11">
        <f t="shared" si="4"/>
        <v>658</v>
      </c>
    </row>
    <row r="57" spans="1:5">
      <c r="A57" s="26">
        <v>45933</v>
      </c>
      <c r="B57" s="27" t="s">
        <v>193</v>
      </c>
      <c r="C57" s="27">
        <v>101.95</v>
      </c>
      <c r="D57" s="11">
        <v>5.8</v>
      </c>
      <c r="E57" s="11">
        <f t="shared" si="4"/>
        <v>591</v>
      </c>
    </row>
    <row r="58" spans="1:5">
      <c r="A58" s="26">
        <v>45933</v>
      </c>
      <c r="B58" s="27" t="s">
        <v>191</v>
      </c>
      <c r="C58" s="27">
        <v>98.12</v>
      </c>
      <c r="D58" s="11">
        <v>5.8</v>
      </c>
      <c r="E58" s="11">
        <f t="shared" si="4"/>
        <v>569</v>
      </c>
    </row>
    <row r="59" spans="1:5">
      <c r="A59" s="26">
        <v>45933</v>
      </c>
      <c r="B59" s="27" t="s">
        <v>190</v>
      </c>
      <c r="C59" s="27">
        <v>124.13</v>
      </c>
      <c r="D59" s="11">
        <v>5.8</v>
      </c>
      <c r="E59" s="11">
        <f t="shared" si="4"/>
        <v>719</v>
      </c>
    </row>
    <row r="60" spans="1:5">
      <c r="A60" s="26">
        <v>45933</v>
      </c>
      <c r="B60" s="27" t="s">
        <v>191</v>
      </c>
      <c r="C60" s="27">
        <v>102.12</v>
      </c>
      <c r="D60" s="11">
        <v>5.8</v>
      </c>
      <c r="E60" s="11">
        <f t="shared" si="4"/>
        <v>592</v>
      </c>
    </row>
    <row r="61" spans="1:5">
      <c r="A61" s="26">
        <v>45933</v>
      </c>
      <c r="B61" s="27" t="s">
        <v>193</v>
      </c>
      <c r="C61" s="27">
        <v>91.73</v>
      </c>
      <c r="D61" s="11">
        <v>5.8</v>
      </c>
      <c r="E61" s="11">
        <f t="shared" si="4"/>
        <v>532</v>
      </c>
    </row>
    <row r="62" spans="1:5">
      <c r="A62" s="26">
        <v>45933</v>
      </c>
      <c r="B62" s="27" t="s">
        <v>188</v>
      </c>
      <c r="C62" s="27">
        <v>136.14</v>
      </c>
      <c r="D62" s="11">
        <v>5.8</v>
      </c>
      <c r="E62" s="11">
        <f t="shared" si="4"/>
        <v>789</v>
      </c>
    </row>
    <row r="63" spans="1:5">
      <c r="A63" s="26">
        <v>45933</v>
      </c>
      <c r="B63" s="27" t="s">
        <v>187</v>
      </c>
      <c r="C63" s="27">
        <v>214.85</v>
      </c>
      <c r="D63" s="11">
        <v>5.8</v>
      </c>
      <c r="E63" s="11">
        <f t="shared" si="4"/>
        <v>1246</v>
      </c>
    </row>
    <row r="64" spans="1:5">
      <c r="A64" s="26">
        <v>45933</v>
      </c>
      <c r="B64" s="27" t="s">
        <v>194</v>
      </c>
      <c r="C64" s="27">
        <v>153.92</v>
      </c>
      <c r="D64" s="11">
        <v>5.8</v>
      </c>
      <c r="E64" s="11">
        <f t="shared" si="4"/>
        <v>892</v>
      </c>
    </row>
    <row r="65" spans="1:5">
      <c r="A65" s="26">
        <v>45933</v>
      </c>
      <c r="B65" s="27" t="s">
        <v>190</v>
      </c>
      <c r="C65" s="27">
        <v>154.24</v>
      </c>
      <c r="D65" s="11">
        <v>5.8</v>
      </c>
      <c r="E65" s="11">
        <f t="shared" si="4"/>
        <v>894</v>
      </c>
    </row>
    <row r="66" spans="1:5">
      <c r="A66" s="26">
        <v>45933</v>
      </c>
      <c r="B66" s="27" t="s">
        <v>189</v>
      </c>
      <c r="C66" s="27">
        <v>194.89</v>
      </c>
      <c r="D66" s="11">
        <v>5.8</v>
      </c>
      <c r="E66" s="11">
        <f t="shared" si="4"/>
        <v>1130</v>
      </c>
    </row>
    <row r="67" spans="1:5">
      <c r="A67" s="26">
        <v>45934</v>
      </c>
      <c r="B67" s="27" t="s">
        <v>193</v>
      </c>
      <c r="C67" s="27">
        <v>137.2</v>
      </c>
      <c r="D67" s="11">
        <v>5.8</v>
      </c>
      <c r="E67" s="11">
        <f t="shared" si="4"/>
        <v>795</v>
      </c>
    </row>
    <row r="68" spans="1:5">
      <c r="A68" s="26">
        <v>45934</v>
      </c>
      <c r="B68" s="27" t="s">
        <v>192</v>
      </c>
      <c r="C68" s="27">
        <v>195.16</v>
      </c>
      <c r="D68" s="11">
        <v>5.8</v>
      </c>
      <c r="E68" s="11">
        <f t="shared" si="4"/>
        <v>1131</v>
      </c>
    </row>
    <row r="69" spans="1:5">
      <c r="A69" s="26">
        <v>45934</v>
      </c>
      <c r="B69" s="27" t="s">
        <v>187</v>
      </c>
      <c r="C69" s="27">
        <v>140.28</v>
      </c>
      <c r="D69" s="11">
        <v>5.8</v>
      </c>
      <c r="E69" s="11">
        <f t="shared" si="4"/>
        <v>813</v>
      </c>
    </row>
    <row r="70" spans="1:5">
      <c r="A70" s="26">
        <v>45934</v>
      </c>
      <c r="B70" s="27" t="s">
        <v>189</v>
      </c>
      <c r="C70" s="27">
        <v>73.97</v>
      </c>
      <c r="D70" s="11">
        <v>5.8</v>
      </c>
      <c r="E70" s="11">
        <f t="shared" si="4"/>
        <v>429</v>
      </c>
    </row>
    <row r="71" spans="1:5">
      <c r="A71" s="26">
        <v>45934</v>
      </c>
      <c r="B71" s="27" t="s">
        <v>188</v>
      </c>
      <c r="C71" s="27">
        <v>106.41</v>
      </c>
      <c r="D71" s="11">
        <v>5.8</v>
      </c>
      <c r="E71" s="11">
        <f t="shared" si="4"/>
        <v>617</v>
      </c>
    </row>
    <row r="72" spans="1:5">
      <c r="A72" s="26">
        <v>45934</v>
      </c>
      <c r="B72" s="27" t="s">
        <v>194</v>
      </c>
      <c r="C72" s="27">
        <v>128.169</v>
      </c>
      <c r="D72" s="11">
        <v>5.8</v>
      </c>
      <c r="E72" s="11">
        <f t="shared" si="4"/>
        <v>743</v>
      </c>
    </row>
    <row r="73" spans="4:6">
      <c r="D73" s="11"/>
      <c r="E73" s="11"/>
      <c r="F73">
        <f>SUM(E50:E72)</f>
        <v>17441</v>
      </c>
    </row>
    <row r="74" spans="1:5">
      <c r="A74" s="26">
        <v>45935</v>
      </c>
      <c r="B74" s="27" t="s">
        <v>191</v>
      </c>
      <c r="C74" s="27">
        <v>135.84</v>
      </c>
      <c r="D74" s="11">
        <v>5.8</v>
      </c>
      <c r="E74" s="11">
        <f t="shared" ref="E73:E87" si="5">INT(C74*D74)</f>
        <v>787</v>
      </c>
    </row>
    <row r="75" spans="1:5">
      <c r="A75" s="26">
        <v>45935</v>
      </c>
      <c r="B75" s="27" t="s">
        <v>194</v>
      </c>
      <c r="C75" s="27">
        <v>183.97</v>
      </c>
      <c r="D75" s="11">
        <v>5.8</v>
      </c>
      <c r="E75" s="11">
        <f t="shared" si="5"/>
        <v>1067</v>
      </c>
    </row>
    <row r="76" spans="1:5">
      <c r="A76" s="26">
        <v>45935</v>
      </c>
      <c r="B76" s="27" t="s">
        <v>190</v>
      </c>
      <c r="C76" s="27">
        <v>208.71</v>
      </c>
      <c r="D76" s="11">
        <v>5.8</v>
      </c>
      <c r="E76" s="11">
        <f t="shared" si="5"/>
        <v>1210</v>
      </c>
    </row>
    <row r="77" spans="1:5">
      <c r="A77" s="26">
        <v>45935</v>
      </c>
      <c r="B77" s="27" t="s">
        <v>193</v>
      </c>
      <c r="C77" s="27">
        <v>60</v>
      </c>
      <c r="D77" s="11">
        <v>5.8</v>
      </c>
      <c r="E77" s="11">
        <f t="shared" si="5"/>
        <v>348</v>
      </c>
    </row>
    <row r="78" spans="1:5">
      <c r="A78" s="26">
        <v>45936</v>
      </c>
      <c r="B78" s="27" t="s">
        <v>187</v>
      </c>
      <c r="C78" s="27">
        <v>163.24</v>
      </c>
      <c r="D78" s="11">
        <v>5.8</v>
      </c>
      <c r="E78" s="11">
        <f t="shared" si="5"/>
        <v>946</v>
      </c>
    </row>
    <row r="79" spans="1:5">
      <c r="A79" s="26">
        <v>45936</v>
      </c>
      <c r="B79" s="27" t="s">
        <v>189</v>
      </c>
      <c r="C79" s="27">
        <v>149.11</v>
      </c>
      <c r="D79" s="11">
        <v>5.8</v>
      </c>
      <c r="E79" s="11">
        <f t="shared" si="5"/>
        <v>864</v>
      </c>
    </row>
    <row r="80" spans="1:5">
      <c r="A80" s="26">
        <v>45938</v>
      </c>
      <c r="B80" s="27" t="s">
        <v>192</v>
      </c>
      <c r="C80" s="27">
        <v>207.66</v>
      </c>
      <c r="D80" s="11">
        <v>5.8</v>
      </c>
      <c r="E80" s="11">
        <f t="shared" si="5"/>
        <v>1204</v>
      </c>
    </row>
    <row r="81" spans="1:5">
      <c r="A81" s="26">
        <v>45938</v>
      </c>
      <c r="B81" s="27" t="s">
        <v>194</v>
      </c>
      <c r="C81" s="27">
        <v>201.15</v>
      </c>
      <c r="D81" s="11">
        <v>5.8</v>
      </c>
      <c r="E81" s="11">
        <f t="shared" si="5"/>
        <v>1166</v>
      </c>
    </row>
    <row r="82" spans="1:5">
      <c r="A82" s="26">
        <v>45938</v>
      </c>
      <c r="B82" s="27" t="s">
        <v>191</v>
      </c>
      <c r="C82" s="27">
        <v>178.39</v>
      </c>
      <c r="D82" s="11">
        <v>5.8</v>
      </c>
      <c r="E82" s="11">
        <f t="shared" si="5"/>
        <v>1034</v>
      </c>
    </row>
    <row r="83" spans="1:5">
      <c r="A83" s="26">
        <v>45938</v>
      </c>
      <c r="B83" s="27" t="s">
        <v>190</v>
      </c>
      <c r="C83" s="27">
        <v>235.04</v>
      </c>
      <c r="D83" s="11">
        <v>5.8</v>
      </c>
      <c r="E83" s="11">
        <f t="shared" si="5"/>
        <v>1363</v>
      </c>
    </row>
    <row r="84" spans="1:5">
      <c r="A84" s="26">
        <v>45938</v>
      </c>
      <c r="B84" s="27" t="s">
        <v>187</v>
      </c>
      <c r="C84" s="27">
        <v>111.55</v>
      </c>
      <c r="D84" s="11">
        <v>5.8</v>
      </c>
      <c r="E84" s="11">
        <f t="shared" si="5"/>
        <v>646</v>
      </c>
    </row>
    <row r="85" spans="1:5">
      <c r="A85" s="26">
        <v>45938</v>
      </c>
      <c r="B85" s="27" t="s">
        <v>188</v>
      </c>
      <c r="C85" s="27">
        <v>224.09</v>
      </c>
      <c r="D85" s="11">
        <v>5.8</v>
      </c>
      <c r="E85" s="11">
        <f t="shared" si="5"/>
        <v>1299</v>
      </c>
    </row>
    <row r="86" spans="1:5">
      <c r="A86" s="26">
        <v>45938</v>
      </c>
      <c r="B86" s="27" t="s">
        <v>193</v>
      </c>
      <c r="C86" s="27">
        <v>145.64</v>
      </c>
      <c r="D86" s="11">
        <v>5.8</v>
      </c>
      <c r="E86" s="11">
        <f t="shared" si="5"/>
        <v>844</v>
      </c>
    </row>
    <row r="87" spans="1:5">
      <c r="A87" s="26">
        <v>45938</v>
      </c>
      <c r="B87" s="27" t="s">
        <v>189</v>
      </c>
      <c r="C87" s="27">
        <v>121.43</v>
      </c>
      <c r="D87" s="11">
        <v>5.8</v>
      </c>
      <c r="E87" s="11">
        <f t="shared" si="5"/>
        <v>704</v>
      </c>
    </row>
    <row r="88" spans="4:6">
      <c r="D88" s="11"/>
      <c r="E88" s="11"/>
      <c r="F88">
        <f>SUM(E74:E87)</f>
        <v>13482</v>
      </c>
    </row>
    <row r="89" spans="1:5">
      <c r="A89" s="26">
        <v>45939</v>
      </c>
      <c r="B89" s="27" t="s">
        <v>194</v>
      </c>
      <c r="C89" s="27">
        <v>145.59</v>
      </c>
      <c r="D89" s="11">
        <v>5.8</v>
      </c>
      <c r="E89" s="11">
        <f t="shared" ref="E88:E100" si="6">INT(C89*D89)</f>
        <v>844</v>
      </c>
    </row>
    <row r="90" spans="1:5">
      <c r="A90" s="26">
        <v>45939</v>
      </c>
      <c r="B90" s="27" t="s">
        <v>193</v>
      </c>
      <c r="C90" s="27">
        <v>120.37</v>
      </c>
      <c r="D90" s="11">
        <v>5.8</v>
      </c>
      <c r="E90" s="11">
        <f t="shared" si="6"/>
        <v>698</v>
      </c>
    </row>
    <row r="91" spans="1:5">
      <c r="A91" s="26">
        <v>45939</v>
      </c>
      <c r="B91" s="27" t="s">
        <v>188</v>
      </c>
      <c r="C91" s="27">
        <v>88.94</v>
      </c>
      <c r="D91" s="11">
        <v>5.8</v>
      </c>
      <c r="E91" s="11">
        <f t="shared" si="6"/>
        <v>515</v>
      </c>
    </row>
    <row r="92" spans="1:5">
      <c r="A92" s="26">
        <v>45939</v>
      </c>
      <c r="B92" s="27" t="s">
        <v>187</v>
      </c>
      <c r="C92" s="27">
        <v>104.92</v>
      </c>
      <c r="D92" s="11">
        <v>5.8</v>
      </c>
      <c r="E92" s="11">
        <f t="shared" si="6"/>
        <v>608</v>
      </c>
    </row>
    <row r="93" spans="1:5">
      <c r="A93" s="26">
        <v>45939</v>
      </c>
      <c r="B93" s="27" t="s">
        <v>189</v>
      </c>
      <c r="C93" s="27">
        <v>99.57</v>
      </c>
      <c r="D93" s="11">
        <v>5.8</v>
      </c>
      <c r="E93" s="11">
        <f t="shared" si="6"/>
        <v>577</v>
      </c>
    </row>
    <row r="94" spans="1:5">
      <c r="A94" s="26">
        <v>45940</v>
      </c>
      <c r="B94" s="27" t="s">
        <v>191</v>
      </c>
      <c r="C94" s="27">
        <v>149.47</v>
      </c>
      <c r="D94" s="11">
        <v>5.8</v>
      </c>
      <c r="E94" s="11">
        <f t="shared" si="6"/>
        <v>866</v>
      </c>
    </row>
    <row r="95" spans="1:5">
      <c r="A95" s="26">
        <v>45940</v>
      </c>
      <c r="B95" s="27" t="s">
        <v>190</v>
      </c>
      <c r="C95" s="27">
        <v>115.7</v>
      </c>
      <c r="D95" s="11">
        <v>5.8</v>
      </c>
      <c r="E95" s="11">
        <f t="shared" si="6"/>
        <v>671</v>
      </c>
    </row>
    <row r="96" spans="1:5">
      <c r="A96" s="26">
        <v>45940</v>
      </c>
      <c r="B96" s="27" t="s">
        <v>188</v>
      </c>
      <c r="C96" s="27">
        <v>95.01</v>
      </c>
      <c r="D96" s="11">
        <v>5.8</v>
      </c>
      <c r="E96" s="11">
        <f t="shared" si="6"/>
        <v>551</v>
      </c>
    </row>
    <row r="97" spans="1:5">
      <c r="A97" s="26">
        <v>45940</v>
      </c>
      <c r="B97" s="27" t="s">
        <v>192</v>
      </c>
      <c r="C97" s="27">
        <v>166</v>
      </c>
      <c r="D97" s="11">
        <v>5.8</v>
      </c>
      <c r="E97" s="11">
        <f t="shared" si="6"/>
        <v>962</v>
      </c>
    </row>
    <row r="98" spans="1:5">
      <c r="A98" s="26">
        <v>45940</v>
      </c>
      <c r="B98" s="27" t="s">
        <v>187</v>
      </c>
      <c r="C98" s="27">
        <v>103.21</v>
      </c>
      <c r="D98" s="11">
        <v>5.8</v>
      </c>
      <c r="E98" s="11">
        <f t="shared" si="6"/>
        <v>598</v>
      </c>
    </row>
    <row r="99" spans="1:5">
      <c r="A99" s="26">
        <v>45940</v>
      </c>
      <c r="B99" s="27" t="s">
        <v>193</v>
      </c>
      <c r="C99" s="27">
        <v>148.29</v>
      </c>
      <c r="D99" s="11">
        <v>5.8</v>
      </c>
      <c r="E99" s="11">
        <f t="shared" si="6"/>
        <v>860</v>
      </c>
    </row>
    <row r="100" spans="1:5">
      <c r="A100" s="26">
        <v>45940</v>
      </c>
      <c r="B100" s="27" t="s">
        <v>189</v>
      </c>
      <c r="C100" s="27">
        <v>102.21</v>
      </c>
      <c r="D100" s="11">
        <v>5.8</v>
      </c>
      <c r="E100" s="11">
        <f t="shared" si="6"/>
        <v>592</v>
      </c>
    </row>
    <row r="101" spans="4:6">
      <c r="D101" s="11"/>
      <c r="E101" s="11">
        <f t="shared" ref="E101:E122" si="7">INT(C101*D101)</f>
        <v>0</v>
      </c>
      <c r="F101">
        <f>SUM(E89:E100)</f>
        <v>8342</v>
      </c>
    </row>
    <row r="102" spans="1:5">
      <c r="A102" s="26">
        <v>45941</v>
      </c>
      <c r="B102" s="27" t="s">
        <v>194</v>
      </c>
      <c r="C102" s="27">
        <v>230.51</v>
      </c>
      <c r="D102" s="11">
        <v>5.8</v>
      </c>
      <c r="E102" s="11">
        <f t="shared" si="7"/>
        <v>1336</v>
      </c>
    </row>
    <row r="103" spans="1:5">
      <c r="A103" s="26">
        <v>45941</v>
      </c>
      <c r="B103" s="27" t="s">
        <v>189</v>
      </c>
      <c r="C103" s="27">
        <v>127.83</v>
      </c>
      <c r="D103" s="11">
        <v>5.8</v>
      </c>
      <c r="E103" s="11">
        <f t="shared" si="7"/>
        <v>741</v>
      </c>
    </row>
    <row r="104" spans="1:5">
      <c r="A104" s="26">
        <v>45941</v>
      </c>
      <c r="B104" s="27" t="s">
        <v>188</v>
      </c>
      <c r="C104" s="27">
        <v>95.07</v>
      </c>
      <c r="D104" s="11">
        <v>5.8</v>
      </c>
      <c r="E104" s="11">
        <f t="shared" si="7"/>
        <v>551</v>
      </c>
    </row>
    <row r="105" spans="1:5">
      <c r="A105" s="26">
        <v>45941</v>
      </c>
      <c r="B105" s="27" t="s">
        <v>193</v>
      </c>
      <c r="C105" s="27">
        <v>211.6</v>
      </c>
      <c r="D105" s="11">
        <v>5.8</v>
      </c>
      <c r="E105" s="11">
        <f t="shared" si="7"/>
        <v>1227</v>
      </c>
    </row>
    <row r="106" spans="1:5">
      <c r="A106" s="26">
        <v>45941</v>
      </c>
      <c r="B106" s="27" t="s">
        <v>191</v>
      </c>
      <c r="C106" s="27">
        <v>108.92</v>
      </c>
      <c r="D106" s="11">
        <v>5.8</v>
      </c>
      <c r="E106" s="11">
        <f t="shared" si="7"/>
        <v>631</v>
      </c>
    </row>
    <row r="107" spans="1:5">
      <c r="A107" s="26">
        <v>45941</v>
      </c>
      <c r="B107" s="27" t="s">
        <v>187</v>
      </c>
      <c r="C107" s="27">
        <v>98.26</v>
      </c>
      <c r="D107" s="11">
        <v>5.8</v>
      </c>
      <c r="E107" s="11">
        <f t="shared" si="7"/>
        <v>569</v>
      </c>
    </row>
    <row r="108" spans="1:5">
      <c r="A108" s="26">
        <v>45941</v>
      </c>
      <c r="B108" s="27" t="s">
        <v>190</v>
      </c>
      <c r="C108" s="27">
        <v>114.05</v>
      </c>
      <c r="D108" s="11">
        <v>5.8</v>
      </c>
      <c r="E108" s="11">
        <f t="shared" si="7"/>
        <v>661</v>
      </c>
    </row>
    <row r="109" spans="1:5">
      <c r="A109" s="26">
        <v>45941</v>
      </c>
      <c r="B109" s="27" t="s">
        <v>192</v>
      </c>
      <c r="C109" s="27">
        <v>133.65</v>
      </c>
      <c r="D109" s="11">
        <v>5.8</v>
      </c>
      <c r="E109" s="11">
        <f t="shared" si="7"/>
        <v>775</v>
      </c>
    </row>
    <row r="110" spans="1:5">
      <c r="A110" s="26">
        <v>45942</v>
      </c>
      <c r="B110" s="27" t="s">
        <v>187</v>
      </c>
      <c r="C110" s="27">
        <v>128.88</v>
      </c>
      <c r="D110" s="11">
        <v>5.8</v>
      </c>
      <c r="E110" s="11">
        <f t="shared" si="7"/>
        <v>747</v>
      </c>
    </row>
    <row r="111" spans="1:5">
      <c r="A111" s="26">
        <v>45942</v>
      </c>
      <c r="B111" s="27" t="s">
        <v>193</v>
      </c>
      <c r="C111" s="27">
        <v>124.71</v>
      </c>
      <c r="D111" s="11">
        <v>5.8</v>
      </c>
      <c r="E111" s="11">
        <f t="shared" si="7"/>
        <v>723</v>
      </c>
    </row>
    <row r="112" spans="1:5">
      <c r="A112" s="26">
        <v>45942</v>
      </c>
      <c r="B112" s="27" t="s">
        <v>192</v>
      </c>
      <c r="C112" s="27">
        <v>111.79</v>
      </c>
      <c r="D112" s="11">
        <v>5.8</v>
      </c>
      <c r="E112" s="11">
        <f t="shared" si="7"/>
        <v>648</v>
      </c>
    </row>
    <row r="113" spans="1:5">
      <c r="A113" s="26">
        <v>45942</v>
      </c>
      <c r="B113" s="27" t="s">
        <v>191</v>
      </c>
      <c r="C113" s="27">
        <v>125.9</v>
      </c>
      <c r="D113" s="11">
        <v>5.8</v>
      </c>
      <c r="E113" s="11">
        <f t="shared" si="7"/>
        <v>730</v>
      </c>
    </row>
    <row r="114" spans="1:5">
      <c r="A114" s="26">
        <v>45942</v>
      </c>
      <c r="B114" s="27" t="s">
        <v>188</v>
      </c>
      <c r="C114" s="27">
        <v>83.61</v>
      </c>
      <c r="D114" s="11">
        <v>5.8</v>
      </c>
      <c r="E114" s="11">
        <f t="shared" si="7"/>
        <v>484</v>
      </c>
    </row>
    <row r="115" spans="1:5">
      <c r="A115" s="26">
        <v>45942</v>
      </c>
      <c r="B115" s="27" t="s">
        <v>190</v>
      </c>
      <c r="C115" s="27">
        <v>159.8</v>
      </c>
      <c r="D115" s="11">
        <v>5.8</v>
      </c>
      <c r="E115" s="11">
        <f t="shared" si="7"/>
        <v>926</v>
      </c>
    </row>
    <row r="116" spans="1:5">
      <c r="A116" s="26">
        <v>45942</v>
      </c>
      <c r="B116" s="27" t="s">
        <v>189</v>
      </c>
      <c r="C116" s="27">
        <v>101.48</v>
      </c>
      <c r="D116" s="11">
        <v>5.8</v>
      </c>
      <c r="E116" s="11">
        <f t="shared" si="7"/>
        <v>588</v>
      </c>
    </row>
    <row r="117" spans="1:5">
      <c r="A117" s="26">
        <v>45943</v>
      </c>
      <c r="B117" s="27" t="s">
        <v>187</v>
      </c>
      <c r="C117" s="27">
        <v>91.69</v>
      </c>
      <c r="D117" s="11">
        <v>5.8</v>
      </c>
      <c r="E117" s="11">
        <f t="shared" si="7"/>
        <v>531</v>
      </c>
    </row>
    <row r="118" spans="1:5">
      <c r="A118" s="26">
        <v>45943</v>
      </c>
      <c r="B118" s="27" t="s">
        <v>191</v>
      </c>
      <c r="C118" s="27">
        <v>134.26</v>
      </c>
      <c r="D118" s="11">
        <v>5.8</v>
      </c>
      <c r="E118" s="11">
        <f t="shared" si="7"/>
        <v>778</v>
      </c>
    </row>
    <row r="119" spans="1:5">
      <c r="A119" s="26">
        <v>45943</v>
      </c>
      <c r="B119" s="27" t="s">
        <v>192</v>
      </c>
      <c r="C119" s="27">
        <v>130.199</v>
      </c>
      <c r="D119" s="11">
        <v>5.8</v>
      </c>
      <c r="E119" s="11">
        <f t="shared" si="7"/>
        <v>755</v>
      </c>
    </row>
    <row r="120" spans="1:5">
      <c r="A120" s="26">
        <v>45943</v>
      </c>
      <c r="B120" s="27" t="s">
        <v>190</v>
      </c>
      <c r="C120" s="27">
        <v>86.75</v>
      </c>
      <c r="D120" s="11">
        <v>5.8</v>
      </c>
      <c r="E120" s="11">
        <f t="shared" si="7"/>
        <v>503</v>
      </c>
    </row>
    <row r="121" spans="1:5">
      <c r="A121" s="26">
        <v>45943</v>
      </c>
      <c r="B121" s="27" t="s">
        <v>193</v>
      </c>
      <c r="C121" s="27">
        <v>98.89</v>
      </c>
      <c r="D121" s="11">
        <v>5.8</v>
      </c>
      <c r="E121" s="11">
        <f t="shared" si="7"/>
        <v>573</v>
      </c>
    </row>
    <row r="122" spans="1:5">
      <c r="A122" s="26">
        <v>45943</v>
      </c>
      <c r="B122" s="27" t="s">
        <v>194</v>
      </c>
      <c r="C122" s="27">
        <v>213.86</v>
      </c>
      <c r="D122" s="11">
        <v>5.8</v>
      </c>
      <c r="E122" s="11">
        <f t="shared" si="7"/>
        <v>1240</v>
      </c>
    </row>
    <row r="123" spans="5:5">
      <c r="E123">
        <f>SUM(E102:E122)</f>
        <v>15717</v>
      </c>
    </row>
  </sheetData>
  <mergeCells count="1">
    <mergeCell ref="B1:D1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K60"/>
  <sheetViews>
    <sheetView topLeftCell="A36" workbookViewId="0">
      <selection activeCell="A54" sqref="A54:E60"/>
    </sheetView>
  </sheetViews>
  <sheetFormatPr defaultColWidth="9" defaultRowHeight="14.25"/>
  <cols>
    <col min="1" max="1" width="9.86666666666667"/>
    <col min="2" max="2" width="10.9333333333333" customWidth="1"/>
  </cols>
  <sheetData>
    <row r="1" ht="20.25" spans="1:7">
      <c r="A1" s="1" t="s">
        <v>0</v>
      </c>
      <c r="B1" s="2" t="s">
        <v>195</v>
      </c>
      <c r="C1" s="3"/>
      <c r="D1" s="4"/>
      <c r="E1" s="32"/>
      <c r="F1" s="6">
        <v>5.8</v>
      </c>
      <c r="G1" s="33"/>
    </row>
    <row r="2" spans="1:11">
      <c r="A2" s="11" t="s">
        <v>196</v>
      </c>
      <c r="B2" s="11" t="s">
        <v>197</v>
      </c>
      <c r="C2" s="36" t="s">
        <v>198</v>
      </c>
      <c r="D2" s="34" t="s">
        <v>199</v>
      </c>
      <c r="E2" s="11" t="s">
        <v>200</v>
      </c>
      <c r="F2" s="11"/>
      <c r="G2" s="11"/>
      <c r="K2" t="str" cm="1">
        <f t="array" ref="K2:K11">_xlfn.TOCOL(A2:E3)</f>
        <v>粤AHR001</v>
      </c>
    </row>
    <row r="3" spans="1:11">
      <c r="A3" s="10" t="s">
        <v>201</v>
      </c>
      <c r="B3" s="11" t="s">
        <v>202</v>
      </c>
      <c r="C3" s="11" t="s">
        <v>203</v>
      </c>
      <c r="D3" s="14"/>
      <c r="E3" s="14"/>
      <c r="F3" s="14"/>
      <c r="G3" s="14"/>
      <c r="K3" t="str">
        <v>粤AHG239</v>
      </c>
    </row>
    <row r="4" spans="1:11">
      <c r="A4" s="29"/>
      <c r="B4" s="14"/>
      <c r="C4" s="30"/>
      <c r="D4" s="14"/>
      <c r="E4" s="14"/>
      <c r="F4" s="14"/>
      <c r="G4" s="14"/>
      <c r="K4" t="str">
        <v>粤AFR173</v>
      </c>
    </row>
    <row r="5" spans="1:11">
      <c r="A5" s="29"/>
      <c r="B5" s="14"/>
      <c r="C5" s="30"/>
      <c r="D5" s="14"/>
      <c r="E5" s="14"/>
      <c r="F5" s="14"/>
      <c r="G5" s="14"/>
      <c r="K5" t="str">
        <v>粤AHG913</v>
      </c>
    </row>
    <row r="6" spans="1:11">
      <c r="A6" s="29"/>
      <c r="B6" s="14"/>
      <c r="C6" s="30"/>
      <c r="D6" s="14"/>
      <c r="E6" s="14"/>
      <c r="F6" s="14"/>
      <c r="G6" s="14"/>
      <c r="K6" t="str">
        <v>粤AFW753</v>
      </c>
    </row>
    <row r="7" spans="1:11">
      <c r="A7" s="29"/>
      <c r="B7" s="14"/>
      <c r="C7" s="30"/>
      <c r="D7" s="14"/>
      <c r="E7" s="14"/>
      <c r="F7" s="14"/>
      <c r="G7" s="14"/>
      <c r="K7" t="str">
        <v>粤AHV973</v>
      </c>
    </row>
    <row r="8" spans="1:11">
      <c r="A8" s="29"/>
      <c r="B8" s="14"/>
      <c r="C8" s="30"/>
      <c r="D8" s="14"/>
      <c r="E8" s="14"/>
      <c r="F8" s="14"/>
      <c r="G8" s="14"/>
      <c r="K8" t="str">
        <v>粤AGE828</v>
      </c>
    </row>
    <row r="9" spans="1:11">
      <c r="A9" s="29"/>
      <c r="B9" s="14"/>
      <c r="C9" s="30"/>
      <c r="D9" s="14"/>
      <c r="E9" s="14"/>
      <c r="F9" s="14"/>
      <c r="G9" s="14"/>
      <c r="K9" t="str">
        <v>鲁AN2377</v>
      </c>
    </row>
    <row r="10" spans="11:11">
      <c r="K10">
        <v>0</v>
      </c>
    </row>
    <row r="11" spans="1:11">
      <c r="A11" s="20" t="s">
        <v>19</v>
      </c>
      <c r="B11" s="21" t="s">
        <v>20</v>
      </c>
      <c r="C11" s="22" t="s">
        <v>21</v>
      </c>
      <c r="D11" s="21" t="s">
        <v>22</v>
      </c>
      <c r="E11" s="21" t="s">
        <v>23</v>
      </c>
      <c r="F11" s="21" t="s">
        <v>24</v>
      </c>
      <c r="G11" s="21" t="s">
        <v>25</v>
      </c>
      <c r="K11">
        <v>0</v>
      </c>
    </row>
    <row r="12" spans="1:7">
      <c r="A12" s="23">
        <v>45923</v>
      </c>
      <c r="B12" s="24" t="s">
        <v>204</v>
      </c>
      <c r="C12" s="24">
        <v>186.8</v>
      </c>
      <c r="D12" s="11">
        <v>5.8</v>
      </c>
      <c r="E12" s="11">
        <f t="shared" ref="E12" si="0">INT(C12*D12)</f>
        <v>1083</v>
      </c>
      <c r="F12" s="11"/>
      <c r="G12" s="11"/>
    </row>
    <row r="13" spans="1:7">
      <c r="A13" s="23">
        <v>45923</v>
      </c>
      <c r="B13" s="24" t="s">
        <v>205</v>
      </c>
      <c r="C13" s="24">
        <v>212.57</v>
      </c>
      <c r="D13" s="11">
        <v>5.8</v>
      </c>
      <c r="E13" s="11">
        <f t="shared" ref="E13:E18" si="1">INT(C13*D13)</f>
        <v>1232</v>
      </c>
      <c r="F13" s="11"/>
      <c r="G13" s="11"/>
    </row>
    <row r="14" spans="1:7">
      <c r="A14" s="23">
        <v>45923</v>
      </c>
      <c r="B14" s="24" t="s">
        <v>206</v>
      </c>
      <c r="C14" s="24">
        <v>205.48</v>
      </c>
      <c r="D14" s="11">
        <v>5.8</v>
      </c>
      <c r="E14" s="11">
        <f t="shared" si="1"/>
        <v>1191</v>
      </c>
      <c r="F14" s="11"/>
      <c r="G14" s="11"/>
    </row>
    <row r="15" spans="1:7">
      <c r="A15" s="23">
        <v>45925</v>
      </c>
      <c r="B15" s="24" t="s">
        <v>207</v>
      </c>
      <c r="C15" s="24">
        <v>183.01</v>
      </c>
      <c r="D15" s="11">
        <v>5.8</v>
      </c>
      <c r="E15" s="11">
        <f t="shared" si="1"/>
        <v>1061</v>
      </c>
      <c r="F15" s="11"/>
      <c r="G15" s="11"/>
    </row>
    <row r="16" spans="1:7">
      <c r="A16" s="23">
        <v>45925</v>
      </c>
      <c r="B16" s="24" t="s">
        <v>208</v>
      </c>
      <c r="C16" s="24">
        <v>199.59</v>
      </c>
      <c r="D16" s="11">
        <v>5.8</v>
      </c>
      <c r="E16" s="11">
        <f t="shared" si="1"/>
        <v>1157</v>
      </c>
      <c r="F16" s="11"/>
      <c r="G16" s="11"/>
    </row>
    <row r="17" spans="1:7">
      <c r="A17" s="23">
        <v>45925</v>
      </c>
      <c r="B17" s="24" t="s">
        <v>209</v>
      </c>
      <c r="C17" s="24">
        <v>191.63</v>
      </c>
      <c r="D17" s="11">
        <v>5.8</v>
      </c>
      <c r="E17" s="11">
        <f t="shared" si="1"/>
        <v>1111</v>
      </c>
      <c r="F17" s="11"/>
      <c r="G17" s="11"/>
    </row>
    <row r="18" spans="1:7">
      <c r="A18" s="23">
        <v>45925</v>
      </c>
      <c r="B18" s="24" t="s">
        <v>210</v>
      </c>
      <c r="C18" s="24">
        <v>245.74</v>
      </c>
      <c r="D18" s="11">
        <v>5.8</v>
      </c>
      <c r="E18" s="11">
        <f t="shared" si="1"/>
        <v>1425</v>
      </c>
      <c r="F18" s="11"/>
      <c r="G18" s="11"/>
    </row>
    <row r="19" spans="1:7">
      <c r="A19" s="26">
        <v>45926</v>
      </c>
      <c r="B19" s="27" t="s">
        <v>204</v>
      </c>
      <c r="C19" s="27">
        <v>164.35</v>
      </c>
      <c r="D19" s="11">
        <v>5.8</v>
      </c>
      <c r="E19" s="11">
        <f t="shared" ref="E19:E26" si="2">INT(C19*D19)</f>
        <v>953</v>
      </c>
      <c r="F19" s="11"/>
      <c r="G19" s="11"/>
    </row>
    <row r="20" spans="1:7">
      <c r="A20" s="26">
        <v>45927</v>
      </c>
      <c r="B20" s="27" t="s">
        <v>205</v>
      </c>
      <c r="C20" s="27">
        <v>205.63</v>
      </c>
      <c r="D20" s="11">
        <v>5.8</v>
      </c>
      <c r="E20" s="11">
        <f t="shared" si="2"/>
        <v>1192</v>
      </c>
      <c r="F20" s="11"/>
      <c r="G20" s="11"/>
    </row>
    <row r="21" spans="1:5">
      <c r="A21" s="26">
        <v>45927</v>
      </c>
      <c r="B21" s="27" t="s">
        <v>208</v>
      </c>
      <c r="C21" s="27">
        <v>177.18</v>
      </c>
      <c r="D21" s="11">
        <v>5.8</v>
      </c>
      <c r="E21" s="11">
        <f t="shared" si="2"/>
        <v>1027</v>
      </c>
    </row>
    <row r="22" spans="1:5">
      <c r="A22" s="26">
        <v>45927</v>
      </c>
      <c r="B22" s="27" t="s">
        <v>210</v>
      </c>
      <c r="C22" s="27">
        <v>221.16</v>
      </c>
      <c r="D22" s="11">
        <v>5.8</v>
      </c>
      <c r="E22" s="11">
        <f t="shared" si="2"/>
        <v>1282</v>
      </c>
    </row>
    <row r="23" spans="1:5">
      <c r="A23" s="26">
        <v>45927</v>
      </c>
      <c r="B23" s="27" t="s">
        <v>209</v>
      </c>
      <c r="C23" s="27">
        <v>169.24</v>
      </c>
      <c r="D23" s="11">
        <v>5.8</v>
      </c>
      <c r="E23" s="11">
        <f t="shared" si="2"/>
        <v>981</v>
      </c>
    </row>
    <row r="24" spans="1:5">
      <c r="A24" s="26">
        <v>45927</v>
      </c>
      <c r="B24" s="27" t="s">
        <v>211</v>
      </c>
      <c r="C24" s="27">
        <v>200</v>
      </c>
      <c r="D24" s="11">
        <v>5.8</v>
      </c>
      <c r="E24" s="11">
        <f t="shared" si="2"/>
        <v>1160</v>
      </c>
    </row>
    <row r="25" spans="1:5">
      <c r="A25" s="26">
        <v>45928</v>
      </c>
      <c r="B25" s="27" t="s">
        <v>207</v>
      </c>
      <c r="C25" s="27">
        <v>205.8</v>
      </c>
      <c r="D25" s="11">
        <v>5.8</v>
      </c>
      <c r="E25" s="11">
        <f t="shared" si="2"/>
        <v>1193</v>
      </c>
    </row>
    <row r="26" s="35" customFormat="1" spans="1:5">
      <c r="A26" s="37">
        <v>45928</v>
      </c>
      <c r="B26" s="38" t="s">
        <v>206</v>
      </c>
      <c r="C26" s="38">
        <v>233.5</v>
      </c>
      <c r="D26" s="39">
        <v>5.8</v>
      </c>
      <c r="E26" s="39">
        <f t="shared" si="2"/>
        <v>1354</v>
      </c>
    </row>
    <row r="27" spans="1:5">
      <c r="A27" s="26">
        <v>45929</v>
      </c>
      <c r="B27" s="27" t="s">
        <v>208</v>
      </c>
      <c r="C27" s="27">
        <v>147.61</v>
      </c>
      <c r="D27" s="11">
        <v>5.8</v>
      </c>
      <c r="E27" s="11">
        <f t="shared" ref="E27:E34" si="3">INT(C27*D27)</f>
        <v>856</v>
      </c>
    </row>
    <row r="28" spans="1:5">
      <c r="A28" s="26">
        <v>45929</v>
      </c>
      <c r="B28" s="27" t="s">
        <v>204</v>
      </c>
      <c r="C28" s="27">
        <v>177.14</v>
      </c>
      <c r="D28" s="11">
        <v>5.8</v>
      </c>
      <c r="E28" s="11">
        <f t="shared" si="3"/>
        <v>1027</v>
      </c>
    </row>
    <row r="29" spans="1:5">
      <c r="A29" s="26">
        <v>45930</v>
      </c>
      <c r="B29" s="27" t="s">
        <v>211</v>
      </c>
      <c r="C29" s="27">
        <v>216</v>
      </c>
      <c r="D29" s="11">
        <v>5.8</v>
      </c>
      <c r="E29" s="11">
        <f t="shared" si="3"/>
        <v>1252</v>
      </c>
    </row>
    <row r="30" spans="1:5">
      <c r="A30" s="26">
        <v>45930</v>
      </c>
      <c r="B30" s="27" t="s">
        <v>206</v>
      </c>
      <c r="C30" s="27">
        <v>225.45</v>
      </c>
      <c r="D30" s="11">
        <v>5.8</v>
      </c>
      <c r="E30" s="11">
        <f t="shared" si="3"/>
        <v>1307</v>
      </c>
    </row>
    <row r="31" spans="1:5">
      <c r="A31" s="26">
        <v>45930</v>
      </c>
      <c r="B31" s="27" t="s">
        <v>209</v>
      </c>
      <c r="C31" s="27">
        <v>253.63</v>
      </c>
      <c r="D31" s="11">
        <v>5.8</v>
      </c>
      <c r="E31" s="11">
        <f t="shared" si="3"/>
        <v>1471</v>
      </c>
    </row>
    <row r="32" spans="1:5">
      <c r="A32" s="26">
        <v>45930</v>
      </c>
      <c r="B32" s="27" t="s">
        <v>205</v>
      </c>
      <c r="C32" s="27">
        <v>180.36</v>
      </c>
      <c r="D32" s="11">
        <v>5.8</v>
      </c>
      <c r="E32" s="11">
        <f t="shared" si="3"/>
        <v>1046</v>
      </c>
    </row>
    <row r="33" spans="1:5">
      <c r="A33" s="26">
        <v>45931</v>
      </c>
      <c r="B33" s="27" t="s">
        <v>208</v>
      </c>
      <c r="C33" s="27">
        <v>193.87</v>
      </c>
      <c r="D33" s="11">
        <v>5.8</v>
      </c>
      <c r="E33" s="11">
        <f t="shared" si="3"/>
        <v>1124</v>
      </c>
    </row>
    <row r="34" spans="1:5">
      <c r="A34" s="26">
        <v>45931</v>
      </c>
      <c r="B34" s="27" t="s">
        <v>204</v>
      </c>
      <c r="C34" s="27">
        <v>206.12</v>
      </c>
      <c r="D34" s="11">
        <v>5.8</v>
      </c>
      <c r="E34" s="11">
        <f t="shared" si="3"/>
        <v>1195</v>
      </c>
    </row>
    <row r="35" spans="1:5">
      <c r="A35" s="26">
        <v>45932</v>
      </c>
      <c r="B35" s="27" t="s">
        <v>206</v>
      </c>
      <c r="C35" s="27">
        <v>183.99</v>
      </c>
      <c r="D35" s="11">
        <v>5.8</v>
      </c>
      <c r="E35" s="11">
        <f t="shared" ref="E35:E41" si="4">INT(C35*D35)</f>
        <v>1067</v>
      </c>
    </row>
    <row r="36" spans="1:5">
      <c r="A36" s="26">
        <v>45932</v>
      </c>
      <c r="B36" s="27" t="s">
        <v>205</v>
      </c>
      <c r="C36" s="27">
        <v>201.78</v>
      </c>
      <c r="D36" s="11">
        <v>5.8</v>
      </c>
      <c r="E36" s="11">
        <f t="shared" si="4"/>
        <v>1170</v>
      </c>
    </row>
    <row r="37" spans="1:5">
      <c r="A37" s="26">
        <v>45932</v>
      </c>
      <c r="B37" s="27" t="s">
        <v>209</v>
      </c>
      <c r="C37" s="27">
        <v>190.99</v>
      </c>
      <c r="D37" s="11">
        <v>5.8</v>
      </c>
      <c r="E37" s="11">
        <f t="shared" si="4"/>
        <v>1107</v>
      </c>
    </row>
    <row r="38" spans="1:5">
      <c r="A38" s="26">
        <v>45933</v>
      </c>
      <c r="B38" s="27" t="s">
        <v>211</v>
      </c>
      <c r="C38" s="27">
        <v>218</v>
      </c>
      <c r="D38" s="11">
        <v>5.8</v>
      </c>
      <c r="E38" s="11">
        <f t="shared" si="4"/>
        <v>1264</v>
      </c>
    </row>
    <row r="39" spans="1:5">
      <c r="A39" s="26">
        <v>45933</v>
      </c>
      <c r="B39" s="27" t="s">
        <v>208</v>
      </c>
      <c r="C39" s="27">
        <v>169.25</v>
      </c>
      <c r="D39" s="11">
        <v>5.8</v>
      </c>
      <c r="E39" s="11">
        <f t="shared" si="4"/>
        <v>981</v>
      </c>
    </row>
    <row r="40" spans="1:5">
      <c r="A40" s="26">
        <v>45933</v>
      </c>
      <c r="B40" s="27" t="s">
        <v>204</v>
      </c>
      <c r="C40" s="27">
        <v>193.24</v>
      </c>
      <c r="D40" s="11">
        <v>5.8</v>
      </c>
      <c r="E40" s="11">
        <f t="shared" si="4"/>
        <v>1120</v>
      </c>
    </row>
    <row r="41" spans="1:5">
      <c r="A41" s="26">
        <v>45934</v>
      </c>
      <c r="B41" s="27" t="s">
        <v>209</v>
      </c>
      <c r="C41" s="27">
        <v>189.49</v>
      </c>
      <c r="D41" s="11">
        <v>5.8</v>
      </c>
      <c r="E41" s="11">
        <f t="shared" si="4"/>
        <v>1099</v>
      </c>
    </row>
    <row r="42" spans="4:6">
      <c r="D42" s="11"/>
      <c r="E42" s="11"/>
      <c r="F42">
        <f>SUM(E35:E41)</f>
        <v>7808</v>
      </c>
    </row>
    <row r="43" spans="1:5">
      <c r="A43" s="26">
        <v>45936</v>
      </c>
      <c r="B43" s="27" t="s">
        <v>204</v>
      </c>
      <c r="C43" s="27">
        <v>242.61</v>
      </c>
      <c r="D43" s="11">
        <v>5.8</v>
      </c>
      <c r="E43" s="11">
        <f>INT(C43*D43)</f>
        <v>1407</v>
      </c>
    </row>
    <row r="44" spans="1:5">
      <c r="A44" s="26">
        <v>45936</v>
      </c>
      <c r="B44" s="27" t="s">
        <v>208</v>
      </c>
      <c r="C44" s="27">
        <v>202.01</v>
      </c>
      <c r="D44" s="11">
        <v>5.8</v>
      </c>
      <c r="E44" s="11">
        <f>INT(C44*D44)</f>
        <v>1171</v>
      </c>
    </row>
    <row r="45" spans="1:5">
      <c r="A45" s="26">
        <v>45936</v>
      </c>
      <c r="B45" s="27" t="s">
        <v>206</v>
      </c>
      <c r="C45" s="27">
        <v>199.71</v>
      </c>
      <c r="D45" s="11">
        <v>5.8</v>
      </c>
      <c r="E45" s="11">
        <f>INT(C45*D45)</f>
        <v>1158</v>
      </c>
    </row>
    <row r="46" spans="1:5">
      <c r="A46" s="26">
        <v>45938</v>
      </c>
      <c r="B46" s="27" t="s">
        <v>207</v>
      </c>
      <c r="C46" s="27">
        <v>210.79</v>
      </c>
      <c r="D46" s="11">
        <v>5.8</v>
      </c>
      <c r="E46" s="11">
        <f>INT(C46*D46)</f>
        <v>1222</v>
      </c>
    </row>
    <row r="47" spans="4:6">
      <c r="D47" s="11"/>
      <c r="E47" s="11"/>
      <c r="F47">
        <f>SUM(E43:E46)</f>
        <v>4958</v>
      </c>
    </row>
    <row r="48" spans="1:5">
      <c r="A48" s="26">
        <v>45939</v>
      </c>
      <c r="B48" s="27" t="s">
        <v>209</v>
      </c>
      <c r="C48" s="27">
        <v>173.92</v>
      </c>
      <c r="D48" s="11">
        <v>5.8</v>
      </c>
      <c r="E48" s="11">
        <f t="shared" ref="E47:E52" si="5">INT(C48*D48)</f>
        <v>1008</v>
      </c>
    </row>
    <row r="49" spans="1:5">
      <c r="A49" s="26">
        <v>45940</v>
      </c>
      <c r="B49" s="27" t="s">
        <v>208</v>
      </c>
      <c r="C49" s="27">
        <v>128.66</v>
      </c>
      <c r="D49" s="11">
        <v>5.8</v>
      </c>
      <c r="E49" s="11">
        <f t="shared" si="5"/>
        <v>746</v>
      </c>
    </row>
    <row r="50" spans="1:5">
      <c r="A50" s="26">
        <v>45940</v>
      </c>
      <c r="B50" s="27" t="s">
        <v>211</v>
      </c>
      <c r="C50" s="27">
        <v>249</v>
      </c>
      <c r="D50" s="11">
        <v>5.8</v>
      </c>
      <c r="E50" s="11">
        <f t="shared" si="5"/>
        <v>1444</v>
      </c>
    </row>
    <row r="51" spans="1:5">
      <c r="A51" s="26">
        <v>45940</v>
      </c>
      <c r="B51" s="27" t="s">
        <v>206</v>
      </c>
      <c r="C51" s="27">
        <v>209.34</v>
      </c>
      <c r="D51" s="11">
        <v>5.8</v>
      </c>
      <c r="E51" s="11">
        <f t="shared" si="5"/>
        <v>1214</v>
      </c>
    </row>
    <row r="52" spans="1:5">
      <c r="A52" s="26">
        <v>45940</v>
      </c>
      <c r="B52" s="27" t="s">
        <v>205</v>
      </c>
      <c r="C52" s="27">
        <v>206.12</v>
      </c>
      <c r="D52" s="11">
        <v>5.8</v>
      </c>
      <c r="E52" s="11">
        <f t="shared" si="5"/>
        <v>1195</v>
      </c>
    </row>
    <row r="53" spans="4:6">
      <c r="D53" s="11"/>
      <c r="E53" s="11">
        <f t="shared" ref="E53:E59" si="6">INT(C53*D53)</f>
        <v>0</v>
      </c>
      <c r="F53">
        <f>SUM(E48:E52)</f>
        <v>5607</v>
      </c>
    </row>
    <row r="54" spans="1:5">
      <c r="A54" s="26">
        <v>45941</v>
      </c>
      <c r="B54" s="27" t="s">
        <v>209</v>
      </c>
      <c r="C54" s="27">
        <v>176.89</v>
      </c>
      <c r="D54" s="11">
        <v>5.8</v>
      </c>
      <c r="E54" s="11">
        <f t="shared" si="6"/>
        <v>1025</v>
      </c>
    </row>
    <row r="55" spans="1:5">
      <c r="A55" s="26">
        <v>45941</v>
      </c>
      <c r="B55" s="27" t="s">
        <v>207</v>
      </c>
      <c r="C55" s="27">
        <v>216.39</v>
      </c>
      <c r="D55" s="11">
        <v>5.8</v>
      </c>
      <c r="E55" s="11">
        <f t="shared" si="6"/>
        <v>1255</v>
      </c>
    </row>
    <row r="56" spans="1:5">
      <c r="A56" s="26">
        <v>45941</v>
      </c>
      <c r="B56" s="27" t="s">
        <v>204</v>
      </c>
      <c r="C56" s="27">
        <v>193.24</v>
      </c>
      <c r="D56" s="11">
        <v>5.8</v>
      </c>
      <c r="E56" s="11">
        <f t="shared" si="6"/>
        <v>1120</v>
      </c>
    </row>
    <row r="57" spans="1:5">
      <c r="A57" s="26">
        <v>45943</v>
      </c>
      <c r="B57" s="27" t="s">
        <v>205</v>
      </c>
      <c r="C57" s="27">
        <v>188.41</v>
      </c>
      <c r="D57" s="11">
        <v>5.8</v>
      </c>
      <c r="E57" s="11">
        <f t="shared" si="6"/>
        <v>1092</v>
      </c>
    </row>
    <row r="58" spans="1:5">
      <c r="A58" s="26">
        <v>45943</v>
      </c>
      <c r="B58" s="27" t="s">
        <v>206</v>
      </c>
      <c r="C58" s="27">
        <v>217.4</v>
      </c>
      <c r="D58" s="11">
        <v>5.8</v>
      </c>
      <c r="E58" s="11">
        <f t="shared" si="6"/>
        <v>1260</v>
      </c>
    </row>
    <row r="59" spans="1:5">
      <c r="A59" s="26">
        <v>45943</v>
      </c>
      <c r="B59" s="27" t="s">
        <v>208</v>
      </c>
      <c r="C59" s="27">
        <v>147.19</v>
      </c>
      <c r="D59" s="11">
        <v>5.8</v>
      </c>
      <c r="E59" s="11">
        <f t="shared" si="6"/>
        <v>853</v>
      </c>
    </row>
    <row r="60" spans="5:5">
      <c r="E60">
        <f>SUM(E54:E59)</f>
        <v>6605</v>
      </c>
    </row>
  </sheetData>
  <mergeCells count="1">
    <mergeCell ref="B1:D1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J89"/>
  <sheetViews>
    <sheetView topLeftCell="A57" workbookViewId="0">
      <selection activeCell="A78" sqref="A78:E89"/>
    </sheetView>
  </sheetViews>
  <sheetFormatPr defaultColWidth="9" defaultRowHeight="14.25"/>
  <cols>
    <col min="1" max="1" width="9.86666666666667"/>
    <col min="2" max="2" width="12.4" customWidth="1"/>
  </cols>
  <sheetData>
    <row r="1" ht="20.25" spans="1:10">
      <c r="A1" s="1" t="s">
        <v>0</v>
      </c>
      <c r="B1" s="2" t="s">
        <v>212</v>
      </c>
      <c r="C1" s="3"/>
      <c r="D1" s="4"/>
      <c r="E1" s="32"/>
      <c r="F1" s="6">
        <v>5.8</v>
      </c>
      <c r="G1" s="33"/>
      <c r="J1" t="str" cm="1">
        <f t="array" ref="J1:J10">_xlfn.TOCOL(A2:E3)</f>
        <v>粤AHV200</v>
      </c>
    </row>
    <row r="2" spans="1:10">
      <c r="A2" s="11" t="s">
        <v>213</v>
      </c>
      <c r="B2" s="11" t="s">
        <v>214</v>
      </c>
      <c r="C2" s="36" t="s">
        <v>215</v>
      </c>
      <c r="D2" s="34" t="s">
        <v>216</v>
      </c>
      <c r="E2" s="11" t="s">
        <v>217</v>
      </c>
      <c r="F2" s="11"/>
      <c r="G2" s="11"/>
      <c r="J2" t="str">
        <v>粤AKE673</v>
      </c>
    </row>
    <row r="3" spans="1:10">
      <c r="A3" s="31" t="s">
        <v>218</v>
      </c>
      <c r="B3" s="11" t="s">
        <v>219</v>
      </c>
      <c r="C3" s="11"/>
      <c r="D3" s="14"/>
      <c r="E3" s="14"/>
      <c r="F3" s="14"/>
      <c r="G3" s="14"/>
      <c r="J3" t="str">
        <v>粤ADH687</v>
      </c>
    </row>
    <row r="4" spans="1:10">
      <c r="A4" s="29"/>
      <c r="B4" s="14"/>
      <c r="C4" s="30"/>
      <c r="D4" s="14"/>
      <c r="E4" s="14"/>
      <c r="F4" s="14"/>
      <c r="G4" s="14"/>
      <c r="J4" t="str">
        <v>粤AGS803</v>
      </c>
    </row>
    <row r="5" spans="1:10">
      <c r="A5" s="29"/>
      <c r="B5" s="14"/>
      <c r="C5" s="30"/>
      <c r="D5" s="14"/>
      <c r="E5" s="14"/>
      <c r="F5" s="14"/>
      <c r="G5" s="14"/>
      <c r="J5" t="str">
        <v>粤AHX588</v>
      </c>
    </row>
    <row r="6" spans="1:10">
      <c r="A6" s="29"/>
      <c r="B6" s="14"/>
      <c r="C6" s="30"/>
      <c r="D6" s="14"/>
      <c r="E6" s="14"/>
      <c r="F6" s="14"/>
      <c r="G6" s="14"/>
      <c r="J6" t="str">
        <v>粤AGN122</v>
      </c>
    </row>
    <row r="7" spans="1:10">
      <c r="A7" s="29"/>
      <c r="B7" s="14"/>
      <c r="C7" s="30"/>
      <c r="D7" s="14"/>
      <c r="E7" s="14"/>
      <c r="F7" s="14"/>
      <c r="G7" s="14"/>
      <c r="J7" t="str">
        <v>粤ADZ337</v>
      </c>
    </row>
    <row r="8" spans="1:10">
      <c r="A8" s="29"/>
      <c r="B8" s="14"/>
      <c r="C8" s="30"/>
      <c r="D8" s="14"/>
      <c r="E8" s="14"/>
      <c r="F8" s="14"/>
      <c r="G8" s="14"/>
      <c r="J8">
        <v>0</v>
      </c>
    </row>
    <row r="9" spans="1:10">
      <c r="A9" s="29"/>
      <c r="B9" s="14"/>
      <c r="C9" s="30"/>
      <c r="D9" s="14"/>
      <c r="E9" s="14"/>
      <c r="F9" s="14"/>
      <c r="G9" s="14"/>
      <c r="J9">
        <v>0</v>
      </c>
    </row>
    <row r="10" spans="10:10">
      <c r="J10">
        <v>0</v>
      </c>
    </row>
    <row r="11" spans="1:7">
      <c r="A11" s="20" t="s">
        <v>19</v>
      </c>
      <c r="B11" s="21" t="s">
        <v>20</v>
      </c>
      <c r="C11" s="22" t="s">
        <v>21</v>
      </c>
      <c r="D11" s="21" t="s">
        <v>22</v>
      </c>
      <c r="E11" s="21" t="s">
        <v>23</v>
      </c>
      <c r="F11" s="21" t="s">
        <v>24</v>
      </c>
      <c r="G11" s="21" t="s">
        <v>25</v>
      </c>
    </row>
    <row r="12" spans="1:7">
      <c r="A12" s="23">
        <v>45923</v>
      </c>
      <c r="B12" s="24" t="s">
        <v>220</v>
      </c>
      <c r="C12" s="24">
        <v>217.3</v>
      </c>
      <c r="D12" s="11">
        <v>5.8</v>
      </c>
      <c r="E12" s="11">
        <f t="shared" ref="E12:E15" si="0">INT(C12*D12)</f>
        <v>1260</v>
      </c>
      <c r="F12" s="11"/>
      <c r="G12" s="11"/>
    </row>
    <row r="13" spans="1:7">
      <c r="A13" s="23">
        <v>45923</v>
      </c>
      <c r="B13" s="24" t="s">
        <v>221</v>
      </c>
      <c r="C13" s="24">
        <v>201.07</v>
      </c>
      <c r="D13" s="11">
        <v>5.8</v>
      </c>
      <c r="E13" s="11">
        <f t="shared" si="0"/>
        <v>1166</v>
      </c>
      <c r="F13" s="11"/>
      <c r="G13" s="11"/>
    </row>
    <row r="14" spans="1:7">
      <c r="A14" s="23">
        <v>45923</v>
      </c>
      <c r="B14" s="24" t="s">
        <v>222</v>
      </c>
      <c r="C14" s="24">
        <v>166</v>
      </c>
      <c r="D14" s="11">
        <v>5.8</v>
      </c>
      <c r="E14" s="11">
        <f t="shared" si="0"/>
        <v>962</v>
      </c>
      <c r="F14" s="11"/>
      <c r="G14" s="11"/>
    </row>
    <row r="15" spans="1:7">
      <c r="A15" s="23">
        <v>45923</v>
      </c>
      <c r="B15" s="24" t="s">
        <v>223</v>
      </c>
      <c r="C15" s="24">
        <v>176.94</v>
      </c>
      <c r="D15" s="11">
        <v>5.8</v>
      </c>
      <c r="E15" s="11">
        <f t="shared" si="0"/>
        <v>1026</v>
      </c>
      <c r="F15" s="11"/>
      <c r="G15" s="11"/>
    </row>
    <row r="16" spans="1:7">
      <c r="A16" s="26">
        <v>45926</v>
      </c>
      <c r="B16" s="27" t="s">
        <v>224</v>
      </c>
      <c r="C16" s="27">
        <v>188.23</v>
      </c>
      <c r="D16" s="11">
        <v>5.8</v>
      </c>
      <c r="E16" s="11">
        <f t="shared" ref="E16:E25" si="1">INT(C16*D16)</f>
        <v>1091</v>
      </c>
      <c r="F16" s="11"/>
      <c r="G16" s="11"/>
    </row>
    <row r="17" spans="1:7">
      <c r="A17" s="26">
        <v>45927</v>
      </c>
      <c r="B17" s="27" t="s">
        <v>221</v>
      </c>
      <c r="C17" s="27">
        <v>237.93</v>
      </c>
      <c r="D17" s="11">
        <v>5.8</v>
      </c>
      <c r="E17" s="11">
        <f t="shared" si="1"/>
        <v>1379</v>
      </c>
      <c r="F17" s="11"/>
      <c r="G17" s="11"/>
    </row>
    <row r="18" spans="1:7">
      <c r="A18" s="26">
        <v>45927</v>
      </c>
      <c r="B18" s="27" t="s">
        <v>225</v>
      </c>
      <c r="C18" s="27">
        <v>176.79</v>
      </c>
      <c r="D18" s="11">
        <v>5.8</v>
      </c>
      <c r="E18" s="11">
        <f t="shared" si="1"/>
        <v>1025</v>
      </c>
      <c r="F18" s="11"/>
      <c r="G18" s="11"/>
    </row>
    <row r="19" spans="1:7">
      <c r="A19" s="26">
        <v>45927</v>
      </c>
      <c r="B19" s="27" t="s">
        <v>223</v>
      </c>
      <c r="C19" s="27">
        <v>218.09</v>
      </c>
      <c r="D19" s="11">
        <v>5.8</v>
      </c>
      <c r="E19" s="11">
        <f t="shared" si="1"/>
        <v>1264</v>
      </c>
      <c r="F19" s="11"/>
      <c r="G19" s="11"/>
    </row>
    <row r="20" spans="1:7">
      <c r="A20" s="26">
        <v>45927</v>
      </c>
      <c r="B20" s="27" t="s">
        <v>226</v>
      </c>
      <c r="C20" s="27">
        <v>206.61</v>
      </c>
      <c r="D20" s="11">
        <v>5.8</v>
      </c>
      <c r="E20" s="11">
        <f t="shared" si="1"/>
        <v>1198</v>
      </c>
      <c r="F20" s="11"/>
      <c r="G20" s="11"/>
    </row>
    <row r="21" spans="1:7">
      <c r="A21" s="26">
        <v>45927</v>
      </c>
      <c r="B21" s="27" t="s">
        <v>220</v>
      </c>
      <c r="C21" s="27">
        <v>207.73</v>
      </c>
      <c r="D21" s="11">
        <v>5.8</v>
      </c>
      <c r="E21" s="11">
        <f t="shared" si="1"/>
        <v>1204</v>
      </c>
      <c r="F21" s="11"/>
      <c r="G21" s="11"/>
    </row>
    <row r="22" spans="1:7">
      <c r="A22" s="26">
        <v>45928</v>
      </c>
      <c r="B22" s="27" t="s">
        <v>221</v>
      </c>
      <c r="C22" s="27">
        <v>270.66</v>
      </c>
      <c r="D22" s="11">
        <v>5.8</v>
      </c>
      <c r="E22" s="11">
        <f t="shared" si="1"/>
        <v>1569</v>
      </c>
      <c r="F22" s="11"/>
      <c r="G22" s="11"/>
    </row>
    <row r="23" spans="1:5">
      <c r="A23" s="26">
        <v>45928</v>
      </c>
      <c r="B23" s="27" t="s">
        <v>222</v>
      </c>
      <c r="C23" s="27">
        <v>186.11</v>
      </c>
      <c r="D23" s="11">
        <v>5.8</v>
      </c>
      <c r="E23" s="11">
        <f t="shared" si="1"/>
        <v>1079</v>
      </c>
    </row>
    <row r="24" spans="1:5">
      <c r="A24" s="26">
        <v>45928</v>
      </c>
      <c r="B24" s="27" t="s">
        <v>220</v>
      </c>
      <c r="C24" s="27">
        <v>156.04</v>
      </c>
      <c r="D24" s="11">
        <v>5.8</v>
      </c>
      <c r="E24" s="11">
        <f t="shared" si="1"/>
        <v>905</v>
      </c>
    </row>
    <row r="25" s="35" customFormat="1" spans="1:5">
      <c r="A25" s="37">
        <v>45928</v>
      </c>
      <c r="B25" s="38" t="s">
        <v>224</v>
      </c>
      <c r="C25" s="38">
        <v>216.07</v>
      </c>
      <c r="D25" s="39">
        <v>5.8</v>
      </c>
      <c r="E25" s="39">
        <f t="shared" si="1"/>
        <v>1253</v>
      </c>
    </row>
    <row r="26" spans="1:5">
      <c r="A26" s="26">
        <v>45929</v>
      </c>
      <c r="B26" s="27" t="s">
        <v>226</v>
      </c>
      <c r="C26" s="27">
        <v>226.34</v>
      </c>
      <c r="D26" s="11">
        <v>5.8</v>
      </c>
      <c r="E26" s="11">
        <f t="shared" ref="E26:E34" si="2">INT(C26*D26)</f>
        <v>1312</v>
      </c>
    </row>
    <row r="27" spans="1:5">
      <c r="A27" s="26">
        <v>45929</v>
      </c>
      <c r="B27" s="27" t="s">
        <v>223</v>
      </c>
      <c r="C27" s="27">
        <v>240.39</v>
      </c>
      <c r="D27" s="11">
        <v>5.8</v>
      </c>
      <c r="E27" s="11">
        <f t="shared" si="2"/>
        <v>1394</v>
      </c>
    </row>
    <row r="28" spans="1:5">
      <c r="A28" s="26">
        <v>45929</v>
      </c>
      <c r="B28" s="27" t="s">
        <v>220</v>
      </c>
      <c r="C28" s="27">
        <v>137.06</v>
      </c>
      <c r="D28" s="11">
        <v>5.8</v>
      </c>
      <c r="E28" s="11">
        <f t="shared" si="2"/>
        <v>794</v>
      </c>
    </row>
    <row r="29" spans="1:5">
      <c r="A29" s="26">
        <v>45930</v>
      </c>
      <c r="B29" s="27" t="s">
        <v>224</v>
      </c>
      <c r="C29" s="27">
        <v>220.28</v>
      </c>
      <c r="D29" s="11">
        <v>5.8</v>
      </c>
      <c r="E29" s="11">
        <f t="shared" si="2"/>
        <v>1277</v>
      </c>
    </row>
    <row r="30" spans="1:5">
      <c r="A30" s="26">
        <v>45930</v>
      </c>
      <c r="B30" s="27" t="s">
        <v>223</v>
      </c>
      <c r="C30" s="27">
        <v>145.12</v>
      </c>
      <c r="D30" s="11">
        <v>5.8</v>
      </c>
      <c r="E30" s="11">
        <f t="shared" si="2"/>
        <v>841</v>
      </c>
    </row>
    <row r="31" spans="1:5">
      <c r="A31" s="26">
        <v>45930</v>
      </c>
      <c r="B31" s="27" t="s">
        <v>222</v>
      </c>
      <c r="C31" s="27">
        <v>221.19</v>
      </c>
      <c r="D31" s="11">
        <v>5.8</v>
      </c>
      <c r="E31" s="11">
        <f t="shared" si="2"/>
        <v>1282</v>
      </c>
    </row>
    <row r="32" spans="1:5">
      <c r="A32" s="26">
        <v>45931</v>
      </c>
      <c r="B32" s="27" t="s">
        <v>226</v>
      </c>
      <c r="C32" s="27">
        <v>247.87</v>
      </c>
      <c r="D32" s="11">
        <v>5.8</v>
      </c>
      <c r="E32" s="11">
        <f t="shared" si="2"/>
        <v>1437</v>
      </c>
    </row>
    <row r="33" spans="1:5">
      <c r="A33" s="26">
        <v>45931</v>
      </c>
      <c r="B33" s="27" t="s">
        <v>221</v>
      </c>
      <c r="C33" s="27">
        <v>160.82</v>
      </c>
      <c r="D33" s="11">
        <v>5.8</v>
      </c>
      <c r="E33" s="11">
        <f t="shared" si="2"/>
        <v>932</v>
      </c>
    </row>
    <row r="34" spans="1:5">
      <c r="A34" s="26">
        <v>45931</v>
      </c>
      <c r="B34" s="27" t="s">
        <v>220</v>
      </c>
      <c r="C34" s="27">
        <v>219.26</v>
      </c>
      <c r="D34" s="11">
        <v>5.8</v>
      </c>
      <c r="E34" s="11">
        <f t="shared" si="2"/>
        <v>1271</v>
      </c>
    </row>
    <row r="35" spans="1:5">
      <c r="A35" s="26">
        <v>45932</v>
      </c>
      <c r="B35" s="27" t="s">
        <v>223</v>
      </c>
      <c r="C35" s="27">
        <v>245.55</v>
      </c>
      <c r="D35" s="11">
        <v>5.8</v>
      </c>
      <c r="E35" s="11">
        <f t="shared" ref="E35:E51" si="3">INT(C35*D35)</f>
        <v>1424</v>
      </c>
    </row>
    <row r="36" spans="1:5">
      <c r="A36" s="26">
        <v>45932</v>
      </c>
      <c r="B36" s="27" t="s">
        <v>221</v>
      </c>
      <c r="C36" s="27">
        <v>166.8</v>
      </c>
      <c r="D36" s="11">
        <v>5.8</v>
      </c>
      <c r="E36" s="11">
        <f t="shared" si="3"/>
        <v>967</v>
      </c>
    </row>
    <row r="37" spans="1:5">
      <c r="A37" s="26">
        <v>45932</v>
      </c>
      <c r="B37" s="27" t="s">
        <v>220</v>
      </c>
      <c r="C37" s="27">
        <v>156.85</v>
      </c>
      <c r="D37" s="11">
        <v>5.8</v>
      </c>
      <c r="E37" s="11">
        <f t="shared" si="3"/>
        <v>909</v>
      </c>
    </row>
    <row r="38" spans="1:5">
      <c r="A38" s="26">
        <v>45932</v>
      </c>
      <c r="B38" s="27" t="s">
        <v>224</v>
      </c>
      <c r="C38" s="27">
        <v>249.98</v>
      </c>
      <c r="D38" s="11">
        <v>5.8</v>
      </c>
      <c r="E38" s="11">
        <f t="shared" si="3"/>
        <v>1449</v>
      </c>
    </row>
    <row r="39" spans="1:5">
      <c r="A39" s="26">
        <v>45932</v>
      </c>
      <c r="B39" s="27" t="s">
        <v>222</v>
      </c>
      <c r="C39" s="27">
        <v>226.17</v>
      </c>
      <c r="D39" s="11">
        <v>5.8</v>
      </c>
      <c r="E39" s="11">
        <f t="shared" si="3"/>
        <v>1311</v>
      </c>
    </row>
    <row r="40" spans="1:5">
      <c r="A40" s="26">
        <v>45933</v>
      </c>
      <c r="B40" s="27" t="s">
        <v>220</v>
      </c>
      <c r="C40" s="27">
        <v>253.31</v>
      </c>
      <c r="D40" s="11">
        <v>5.8</v>
      </c>
      <c r="E40" s="11">
        <f t="shared" si="3"/>
        <v>1469</v>
      </c>
    </row>
    <row r="41" spans="1:5">
      <c r="A41" s="26">
        <v>45933</v>
      </c>
      <c r="B41" s="27" t="s">
        <v>222</v>
      </c>
      <c r="C41" s="27">
        <v>148.04</v>
      </c>
      <c r="D41" s="11">
        <v>5.8</v>
      </c>
      <c r="E41" s="11">
        <f t="shared" si="3"/>
        <v>858</v>
      </c>
    </row>
    <row r="42" spans="1:5">
      <c r="A42" s="26">
        <v>45933</v>
      </c>
      <c r="B42" s="27" t="s">
        <v>221</v>
      </c>
      <c r="C42" s="27">
        <v>170.06</v>
      </c>
      <c r="D42" s="11">
        <v>5.8</v>
      </c>
      <c r="E42" s="11">
        <f t="shared" si="3"/>
        <v>986</v>
      </c>
    </row>
    <row r="43" spans="1:5">
      <c r="A43" s="26">
        <v>45933</v>
      </c>
      <c r="B43" s="27" t="s">
        <v>226</v>
      </c>
      <c r="C43" s="27">
        <v>213.32</v>
      </c>
      <c r="D43" s="11">
        <v>5.8</v>
      </c>
      <c r="E43" s="11">
        <f t="shared" si="3"/>
        <v>1237</v>
      </c>
    </row>
    <row r="44" spans="1:5">
      <c r="A44" s="26">
        <v>45933</v>
      </c>
      <c r="B44" s="27" t="s">
        <v>220</v>
      </c>
      <c r="C44" s="27">
        <v>146.48</v>
      </c>
      <c r="D44" s="11">
        <v>5.8</v>
      </c>
      <c r="E44" s="11">
        <f t="shared" si="3"/>
        <v>849</v>
      </c>
    </row>
    <row r="45" spans="1:5">
      <c r="A45" s="26">
        <v>45933</v>
      </c>
      <c r="B45" s="27" t="s">
        <v>225</v>
      </c>
      <c r="C45" s="27">
        <v>239.94</v>
      </c>
      <c r="D45" s="11">
        <v>5.8</v>
      </c>
      <c r="E45" s="11">
        <f t="shared" si="3"/>
        <v>1391</v>
      </c>
    </row>
    <row r="46" spans="1:5">
      <c r="A46" s="26">
        <v>45934</v>
      </c>
      <c r="B46" s="27" t="s">
        <v>225</v>
      </c>
      <c r="C46" s="27">
        <v>159.12</v>
      </c>
      <c r="D46" s="11">
        <v>5.8</v>
      </c>
      <c r="E46" s="11">
        <f t="shared" si="3"/>
        <v>922</v>
      </c>
    </row>
    <row r="47" spans="1:5">
      <c r="A47" s="26">
        <v>45934</v>
      </c>
      <c r="B47" s="27" t="s">
        <v>220</v>
      </c>
      <c r="C47" s="27">
        <v>162.24</v>
      </c>
      <c r="D47" s="11">
        <v>5.8</v>
      </c>
      <c r="E47" s="11">
        <f t="shared" si="3"/>
        <v>940</v>
      </c>
    </row>
    <row r="48" spans="1:5">
      <c r="A48" s="26">
        <v>45934</v>
      </c>
      <c r="B48" s="27" t="s">
        <v>221</v>
      </c>
      <c r="C48" s="27">
        <v>189.15</v>
      </c>
      <c r="D48" s="11">
        <v>5.8</v>
      </c>
      <c r="E48" s="11">
        <f t="shared" si="3"/>
        <v>1097</v>
      </c>
    </row>
    <row r="49" spans="1:5">
      <c r="A49" s="26">
        <v>45934</v>
      </c>
      <c r="B49" s="27" t="s">
        <v>223</v>
      </c>
      <c r="C49" s="27">
        <v>253.7</v>
      </c>
      <c r="D49" s="11">
        <v>5.8</v>
      </c>
      <c r="E49" s="11">
        <f t="shared" si="3"/>
        <v>1471</v>
      </c>
    </row>
    <row r="50" spans="1:5">
      <c r="A50" s="26">
        <v>45934</v>
      </c>
      <c r="B50" s="27" t="s">
        <v>224</v>
      </c>
      <c r="C50" s="27">
        <v>248.97</v>
      </c>
      <c r="D50" s="11">
        <v>5.8</v>
      </c>
      <c r="E50" s="11">
        <f t="shared" si="3"/>
        <v>1444</v>
      </c>
    </row>
    <row r="51" spans="1:5">
      <c r="A51" s="26">
        <v>45934</v>
      </c>
      <c r="B51" s="27" t="s">
        <v>226</v>
      </c>
      <c r="C51" s="27">
        <v>120.01</v>
      </c>
      <c r="D51" s="11">
        <v>5.8</v>
      </c>
      <c r="E51" s="11">
        <f t="shared" si="3"/>
        <v>696</v>
      </c>
    </row>
    <row r="52" spans="4:6">
      <c r="D52" s="11"/>
      <c r="E52" s="11"/>
      <c r="F52">
        <f>SUM(E35:E51)</f>
        <v>19420</v>
      </c>
    </row>
    <row r="53" spans="1:5">
      <c r="A53" s="26">
        <v>45935</v>
      </c>
      <c r="B53" s="27" t="s">
        <v>221</v>
      </c>
      <c r="C53" s="27">
        <v>217.4</v>
      </c>
      <c r="D53" s="11">
        <v>5.8</v>
      </c>
      <c r="E53" s="11">
        <f t="shared" ref="E52:E67" si="4">INT(C53*D53)</f>
        <v>1260</v>
      </c>
    </row>
    <row r="54" spans="1:5">
      <c r="A54" s="26">
        <v>45935</v>
      </c>
      <c r="B54" s="27" t="s">
        <v>220</v>
      </c>
      <c r="C54" s="27">
        <v>188.86</v>
      </c>
      <c r="D54" s="11">
        <v>5.8</v>
      </c>
      <c r="E54" s="11">
        <f t="shared" si="4"/>
        <v>1095</v>
      </c>
    </row>
    <row r="55" spans="1:5">
      <c r="A55" s="26">
        <v>45935</v>
      </c>
      <c r="B55" s="27" t="s">
        <v>226</v>
      </c>
      <c r="C55" s="27">
        <v>170.87</v>
      </c>
      <c r="D55" s="11">
        <v>5.8</v>
      </c>
      <c r="E55" s="11">
        <f t="shared" si="4"/>
        <v>991</v>
      </c>
    </row>
    <row r="56" spans="1:5">
      <c r="A56" s="26">
        <v>45936</v>
      </c>
      <c r="B56" s="27" t="s">
        <v>224</v>
      </c>
      <c r="C56" s="27">
        <v>208.37</v>
      </c>
      <c r="D56" s="11">
        <v>5.8</v>
      </c>
      <c r="E56" s="11">
        <f t="shared" si="4"/>
        <v>1208</v>
      </c>
    </row>
    <row r="57" spans="1:5">
      <c r="A57" s="26">
        <v>45936</v>
      </c>
      <c r="B57" s="27" t="s">
        <v>222</v>
      </c>
      <c r="C57" s="27">
        <v>196.16</v>
      </c>
      <c r="D57" s="11">
        <v>5.8</v>
      </c>
      <c r="E57" s="11">
        <f t="shared" si="4"/>
        <v>1137</v>
      </c>
    </row>
    <row r="58" spans="1:5">
      <c r="A58" s="26">
        <v>45936</v>
      </c>
      <c r="B58" s="27" t="s">
        <v>225</v>
      </c>
      <c r="C58" s="27">
        <v>250.9</v>
      </c>
      <c r="D58" s="11">
        <v>5.8</v>
      </c>
      <c r="E58" s="11">
        <f t="shared" si="4"/>
        <v>1455</v>
      </c>
    </row>
    <row r="59" spans="1:5">
      <c r="A59" s="26">
        <v>45936</v>
      </c>
      <c r="B59" s="27" t="s">
        <v>223</v>
      </c>
      <c r="C59" s="27">
        <v>190.45</v>
      </c>
      <c r="D59" s="11">
        <v>5.8</v>
      </c>
      <c r="E59" s="11">
        <f t="shared" si="4"/>
        <v>1104</v>
      </c>
    </row>
    <row r="60" spans="1:5">
      <c r="A60" s="26">
        <v>45938</v>
      </c>
      <c r="B60" s="27" t="s">
        <v>221</v>
      </c>
      <c r="C60" s="27">
        <v>194.39</v>
      </c>
      <c r="D60" s="11">
        <v>5.8</v>
      </c>
      <c r="E60" s="11">
        <f t="shared" si="4"/>
        <v>1127</v>
      </c>
    </row>
    <row r="61" spans="1:5">
      <c r="A61" s="26">
        <v>45938</v>
      </c>
      <c r="B61" s="27" t="s">
        <v>220</v>
      </c>
      <c r="C61" s="27">
        <v>202.01</v>
      </c>
      <c r="D61" s="11">
        <v>5.8</v>
      </c>
      <c r="E61" s="11">
        <f t="shared" si="4"/>
        <v>1171</v>
      </c>
    </row>
    <row r="62" spans="1:5">
      <c r="A62" s="26">
        <v>45938</v>
      </c>
      <c r="B62" s="27" t="s">
        <v>224</v>
      </c>
      <c r="C62" s="27">
        <v>164.69</v>
      </c>
      <c r="D62" s="11">
        <v>5.8</v>
      </c>
      <c r="E62" s="11">
        <f t="shared" si="4"/>
        <v>955</v>
      </c>
    </row>
    <row r="63" spans="1:5">
      <c r="A63" s="26">
        <v>45938</v>
      </c>
      <c r="B63" s="27" t="s">
        <v>221</v>
      </c>
      <c r="C63" s="27">
        <v>142.04</v>
      </c>
      <c r="D63" s="11">
        <v>5.8</v>
      </c>
      <c r="E63" s="11">
        <f t="shared" si="4"/>
        <v>823</v>
      </c>
    </row>
    <row r="64" spans="1:5">
      <c r="A64" s="26">
        <v>45938</v>
      </c>
      <c r="B64" s="27" t="s">
        <v>222</v>
      </c>
      <c r="C64" s="27">
        <v>153.1</v>
      </c>
      <c r="D64" s="11">
        <v>5.8</v>
      </c>
      <c r="E64" s="11">
        <f t="shared" si="4"/>
        <v>887</v>
      </c>
    </row>
    <row r="65" spans="1:5">
      <c r="A65" s="26">
        <v>45938</v>
      </c>
      <c r="B65" s="27" t="s">
        <v>225</v>
      </c>
      <c r="C65" s="27">
        <v>179.84</v>
      </c>
      <c r="D65" s="11">
        <v>5.8</v>
      </c>
      <c r="E65" s="11">
        <f t="shared" si="4"/>
        <v>1043</v>
      </c>
    </row>
    <row r="66" spans="1:5">
      <c r="A66" s="26">
        <v>45938</v>
      </c>
      <c r="B66" s="27" t="s">
        <v>223</v>
      </c>
      <c r="C66" s="27">
        <v>151.91</v>
      </c>
      <c r="D66" s="11">
        <v>5.8</v>
      </c>
      <c r="E66" s="11">
        <f t="shared" si="4"/>
        <v>881</v>
      </c>
    </row>
    <row r="67" spans="1:5">
      <c r="A67" s="26">
        <v>45938</v>
      </c>
      <c r="B67" s="27" t="s">
        <v>226</v>
      </c>
      <c r="C67" s="27">
        <v>237.67</v>
      </c>
      <c r="D67" s="11">
        <v>5.8</v>
      </c>
      <c r="E67" s="11">
        <f t="shared" si="4"/>
        <v>1378</v>
      </c>
    </row>
    <row r="68" spans="4:6">
      <c r="D68" s="11"/>
      <c r="E68" s="11"/>
      <c r="F68">
        <f>SUM(E53:E67)</f>
        <v>16515</v>
      </c>
    </row>
    <row r="69" spans="1:5">
      <c r="A69" s="26">
        <v>45939</v>
      </c>
      <c r="B69" s="27" t="s">
        <v>220</v>
      </c>
      <c r="C69" s="27">
        <v>174.65</v>
      </c>
      <c r="D69" s="11">
        <v>5.8</v>
      </c>
      <c r="E69" s="11">
        <f t="shared" ref="E68:E76" si="5">INT(C69*D69)</f>
        <v>1012</v>
      </c>
    </row>
    <row r="70" spans="1:5">
      <c r="A70" s="26">
        <v>45939</v>
      </c>
      <c r="B70" s="27" t="s">
        <v>220</v>
      </c>
      <c r="C70" s="27">
        <v>180.36</v>
      </c>
      <c r="D70" s="11">
        <v>5.8</v>
      </c>
      <c r="E70" s="11">
        <f t="shared" si="5"/>
        <v>1046</v>
      </c>
    </row>
    <row r="71" spans="1:5">
      <c r="A71" s="26">
        <v>45939</v>
      </c>
      <c r="B71" s="27" t="s">
        <v>225</v>
      </c>
      <c r="C71" s="27">
        <v>144.66</v>
      </c>
      <c r="D71" s="11">
        <v>5.8</v>
      </c>
      <c r="E71" s="11">
        <f t="shared" si="5"/>
        <v>839</v>
      </c>
    </row>
    <row r="72" spans="1:5">
      <c r="A72" s="26">
        <v>45940</v>
      </c>
      <c r="B72" s="27" t="s">
        <v>221</v>
      </c>
      <c r="C72" s="27">
        <v>176.32</v>
      </c>
      <c r="D72" s="11">
        <v>5.8</v>
      </c>
      <c r="E72" s="11">
        <f t="shared" si="5"/>
        <v>1022</v>
      </c>
    </row>
    <row r="73" spans="1:5">
      <c r="A73" s="26">
        <v>45940</v>
      </c>
      <c r="B73" s="27" t="s">
        <v>223</v>
      </c>
      <c r="C73" s="27">
        <v>228.85</v>
      </c>
      <c r="D73" s="11">
        <v>5.8</v>
      </c>
      <c r="E73" s="11">
        <f t="shared" si="5"/>
        <v>1327</v>
      </c>
    </row>
    <row r="74" spans="1:5">
      <c r="A74" s="26">
        <v>45940</v>
      </c>
      <c r="B74" s="27" t="s">
        <v>226</v>
      </c>
      <c r="C74" s="27">
        <v>234.34</v>
      </c>
      <c r="D74" s="11">
        <v>5.8</v>
      </c>
      <c r="E74" s="11">
        <f t="shared" si="5"/>
        <v>1359</v>
      </c>
    </row>
    <row r="75" spans="1:5">
      <c r="A75" s="26">
        <v>45940</v>
      </c>
      <c r="B75" s="27" t="s">
        <v>222</v>
      </c>
      <c r="C75" s="27">
        <v>206.54</v>
      </c>
      <c r="D75" s="11">
        <v>5.8</v>
      </c>
      <c r="E75" s="11">
        <f t="shared" si="5"/>
        <v>1197</v>
      </c>
    </row>
    <row r="76" spans="1:5">
      <c r="A76" s="26">
        <v>45940</v>
      </c>
      <c r="B76" s="27" t="s">
        <v>224</v>
      </c>
      <c r="C76" s="27">
        <v>215.51</v>
      </c>
      <c r="D76" s="11">
        <v>5.8</v>
      </c>
      <c r="E76" s="11">
        <f t="shared" si="5"/>
        <v>1249</v>
      </c>
    </row>
    <row r="77" spans="4:6">
      <c r="D77" s="11"/>
      <c r="E77" s="11">
        <f t="shared" ref="E77:E88" si="6">INT(C77*D77)</f>
        <v>0</v>
      </c>
      <c r="F77">
        <f>SUM(E69:E76)</f>
        <v>9051</v>
      </c>
    </row>
    <row r="78" spans="1:5">
      <c r="A78" s="26">
        <v>45941</v>
      </c>
      <c r="B78" s="27" t="s">
        <v>221</v>
      </c>
      <c r="C78" s="27">
        <v>256.22</v>
      </c>
      <c r="D78" s="11">
        <v>5.8</v>
      </c>
      <c r="E78" s="11">
        <f t="shared" si="6"/>
        <v>1486</v>
      </c>
    </row>
    <row r="79" spans="1:5">
      <c r="A79" s="26">
        <v>45941</v>
      </c>
      <c r="B79" s="27" t="s">
        <v>226</v>
      </c>
      <c r="C79" s="27">
        <v>203.19</v>
      </c>
      <c r="D79" s="11">
        <v>5.8</v>
      </c>
      <c r="E79" s="11">
        <f t="shared" si="6"/>
        <v>1178</v>
      </c>
    </row>
    <row r="80" spans="1:5">
      <c r="A80" s="26">
        <v>45941</v>
      </c>
      <c r="B80" s="27" t="s">
        <v>225</v>
      </c>
      <c r="C80" s="27">
        <v>228.3</v>
      </c>
      <c r="D80" s="11">
        <v>5.8</v>
      </c>
      <c r="E80" s="11">
        <f t="shared" si="6"/>
        <v>1324</v>
      </c>
    </row>
    <row r="81" spans="1:5">
      <c r="A81" s="26">
        <v>45941</v>
      </c>
      <c r="B81" s="27" t="s">
        <v>220</v>
      </c>
      <c r="C81" s="27">
        <v>209.34</v>
      </c>
      <c r="D81" s="11">
        <v>5.8</v>
      </c>
      <c r="E81" s="11">
        <f t="shared" si="6"/>
        <v>1214</v>
      </c>
    </row>
    <row r="82" spans="1:5">
      <c r="A82" s="26">
        <v>45942</v>
      </c>
      <c r="B82" s="27" t="s">
        <v>220</v>
      </c>
      <c r="C82" s="27">
        <v>214.36</v>
      </c>
      <c r="D82" s="11">
        <v>5.8</v>
      </c>
      <c r="E82" s="11">
        <f t="shared" si="6"/>
        <v>1243</v>
      </c>
    </row>
    <row r="83" spans="1:5">
      <c r="A83" s="26">
        <v>45942</v>
      </c>
      <c r="B83" s="27" t="s">
        <v>222</v>
      </c>
      <c r="C83" s="27">
        <v>206.26</v>
      </c>
      <c r="D83" s="11">
        <v>5.8</v>
      </c>
      <c r="E83" s="11">
        <f t="shared" si="6"/>
        <v>1196</v>
      </c>
    </row>
    <row r="84" spans="1:5">
      <c r="A84" s="26">
        <v>45942</v>
      </c>
      <c r="B84" s="27" t="s">
        <v>224</v>
      </c>
      <c r="C84" s="27">
        <v>240.08</v>
      </c>
      <c r="D84" s="11">
        <v>5.8</v>
      </c>
      <c r="E84" s="11">
        <f t="shared" si="6"/>
        <v>1392</v>
      </c>
    </row>
    <row r="85" spans="1:5">
      <c r="A85" s="26">
        <v>45942</v>
      </c>
      <c r="B85" s="27" t="s">
        <v>225</v>
      </c>
      <c r="C85" s="27">
        <v>109.39</v>
      </c>
      <c r="D85" s="11">
        <v>5.8</v>
      </c>
      <c r="E85" s="11">
        <f t="shared" si="6"/>
        <v>634</v>
      </c>
    </row>
    <row r="86" spans="1:5">
      <c r="A86" s="26">
        <v>45942</v>
      </c>
      <c r="B86" s="27" t="s">
        <v>223</v>
      </c>
      <c r="C86" s="27">
        <v>230.43</v>
      </c>
      <c r="D86" s="11">
        <v>5.8</v>
      </c>
      <c r="E86" s="11">
        <f t="shared" si="6"/>
        <v>1336</v>
      </c>
    </row>
    <row r="87" spans="1:5">
      <c r="A87" s="26">
        <v>45943</v>
      </c>
      <c r="B87" s="27" t="s">
        <v>221</v>
      </c>
      <c r="C87" s="27">
        <v>392.38</v>
      </c>
      <c r="D87" s="11">
        <v>5.8</v>
      </c>
      <c r="E87" s="11">
        <f t="shared" si="6"/>
        <v>2275</v>
      </c>
    </row>
    <row r="88" spans="1:5">
      <c r="A88" s="26">
        <v>45943</v>
      </c>
      <c r="B88" s="27" t="s">
        <v>226</v>
      </c>
      <c r="C88" s="27">
        <v>124.02</v>
      </c>
      <c r="D88" s="11">
        <v>5.8</v>
      </c>
      <c r="E88" s="11">
        <f t="shared" si="6"/>
        <v>719</v>
      </c>
    </row>
    <row r="89" spans="5:5">
      <c r="E89">
        <f>SUM(E78:E88)</f>
        <v>13997</v>
      </c>
    </row>
  </sheetData>
  <mergeCells count="1">
    <mergeCell ref="B1:D1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K65"/>
  <sheetViews>
    <sheetView topLeftCell="A31" workbookViewId="0">
      <selection activeCell="A54" sqref="A54:E65"/>
    </sheetView>
  </sheetViews>
  <sheetFormatPr defaultColWidth="9" defaultRowHeight="14.25"/>
  <cols>
    <col min="1" max="1" width="11"/>
    <col min="2" max="2" width="12.4" customWidth="1"/>
  </cols>
  <sheetData>
    <row r="1" ht="20.25" spans="1:7">
      <c r="A1" s="1" t="s">
        <v>0</v>
      </c>
      <c r="B1" s="2" t="s">
        <v>227</v>
      </c>
      <c r="C1" s="3"/>
      <c r="D1" s="4"/>
      <c r="E1" s="32"/>
      <c r="F1" s="6">
        <v>5.8</v>
      </c>
      <c r="G1" s="33"/>
    </row>
    <row r="2" spans="1:11">
      <c r="A2" s="11" t="s">
        <v>228</v>
      </c>
      <c r="B2" s="11" t="s">
        <v>229</v>
      </c>
      <c r="C2" s="36" t="s">
        <v>230</v>
      </c>
      <c r="D2" s="34" t="s">
        <v>231</v>
      </c>
      <c r="E2" s="11" t="s">
        <v>232</v>
      </c>
      <c r="G2" s="11"/>
      <c r="K2" s="29" t="str" cm="1">
        <f t="array" ref="K2:K11">_xlfn.TOCOL(A2:E3)</f>
        <v>粤BHM548</v>
      </c>
    </row>
    <row r="3" spans="1:11">
      <c r="A3" t="s">
        <v>233</v>
      </c>
      <c r="B3" s="29"/>
      <c r="C3" s="30"/>
      <c r="D3" s="14"/>
      <c r="E3" s="14"/>
      <c r="F3" s="14"/>
      <c r="G3" s="14"/>
      <c r="K3" t="str">
        <v>粤BJS845</v>
      </c>
    </row>
    <row r="4" spans="1:11">
      <c r="A4" s="11"/>
      <c r="B4" s="11"/>
      <c r="C4" s="30"/>
      <c r="D4" s="14"/>
      <c r="E4" s="14"/>
      <c r="F4" s="14"/>
      <c r="G4" s="14"/>
      <c r="K4" t="str">
        <v>粤BJS597</v>
      </c>
    </row>
    <row r="5" spans="1:11">
      <c r="A5" s="11"/>
      <c r="B5" s="11"/>
      <c r="C5" s="30"/>
      <c r="D5" s="14"/>
      <c r="E5" s="14"/>
      <c r="F5" s="11"/>
      <c r="G5" s="14"/>
      <c r="K5" t="str">
        <v>粤BJT778</v>
      </c>
    </row>
    <row r="6" spans="1:11">
      <c r="A6" s="29"/>
      <c r="B6" s="14"/>
      <c r="C6" s="30"/>
      <c r="D6" s="14"/>
      <c r="E6" s="14"/>
      <c r="F6" s="11"/>
      <c r="G6" s="14"/>
      <c r="K6" t="str">
        <v>粤BHA859</v>
      </c>
    </row>
    <row r="7" spans="1:11">
      <c r="A7" s="29"/>
      <c r="B7" s="14"/>
      <c r="C7" s="30"/>
      <c r="D7" s="14"/>
      <c r="E7" s="14"/>
      <c r="F7" s="11"/>
      <c r="G7" s="14"/>
      <c r="K7" t="str">
        <v>粤BHR536</v>
      </c>
    </row>
    <row r="8" spans="1:11">
      <c r="A8" s="29"/>
      <c r="B8" s="14"/>
      <c r="C8" s="30"/>
      <c r="D8" s="14"/>
      <c r="E8" s="14"/>
      <c r="F8" s="11"/>
      <c r="G8" s="14"/>
      <c r="K8">
        <v>0</v>
      </c>
    </row>
    <row r="9" spans="1:11">
      <c r="A9" s="29"/>
      <c r="B9" s="14"/>
      <c r="C9" s="30"/>
      <c r="D9" s="14"/>
      <c r="E9" s="14"/>
      <c r="F9" s="14"/>
      <c r="G9" s="14"/>
      <c r="K9">
        <v>0</v>
      </c>
    </row>
    <row r="10" spans="11:11">
      <c r="K10">
        <v>0</v>
      </c>
    </row>
    <row r="11" spans="1:11">
      <c r="A11" s="20" t="s">
        <v>19</v>
      </c>
      <c r="B11" s="21" t="s">
        <v>20</v>
      </c>
      <c r="C11" s="22" t="s">
        <v>21</v>
      </c>
      <c r="D11" s="21" t="s">
        <v>22</v>
      </c>
      <c r="E11" s="21" t="s">
        <v>23</v>
      </c>
      <c r="F11" s="21" t="s">
        <v>24</v>
      </c>
      <c r="G11" s="21" t="s">
        <v>25</v>
      </c>
      <c r="K11">
        <v>0</v>
      </c>
    </row>
    <row r="12" spans="1:7">
      <c r="A12" s="26">
        <v>45926</v>
      </c>
      <c r="B12" s="27" t="s">
        <v>234</v>
      </c>
      <c r="C12" s="27">
        <v>231.72</v>
      </c>
      <c r="D12" s="11">
        <v>5.8</v>
      </c>
      <c r="E12" s="11">
        <f t="shared" ref="E12" si="0">INT(C12*D12)</f>
        <v>1343</v>
      </c>
      <c r="F12" s="11"/>
      <c r="G12" s="11"/>
    </row>
    <row r="13" spans="1:7">
      <c r="A13" s="26">
        <v>45926</v>
      </c>
      <c r="B13" s="27" t="s">
        <v>235</v>
      </c>
      <c r="C13" s="27">
        <v>167.48</v>
      </c>
      <c r="D13" s="11">
        <v>5.8</v>
      </c>
      <c r="E13" s="11">
        <f t="shared" ref="E13:E24" si="1">INT(C13*D13)</f>
        <v>971</v>
      </c>
      <c r="F13" s="11"/>
      <c r="G13" s="11"/>
    </row>
    <row r="14" spans="1:7">
      <c r="A14" s="26">
        <v>45926</v>
      </c>
      <c r="B14" s="27" t="s">
        <v>236</v>
      </c>
      <c r="C14" s="27">
        <v>149.76</v>
      </c>
      <c r="D14" s="11">
        <v>5.8</v>
      </c>
      <c r="E14" s="11">
        <f t="shared" si="1"/>
        <v>868</v>
      </c>
      <c r="F14" s="11"/>
      <c r="G14" s="11"/>
    </row>
    <row r="15" spans="1:7">
      <c r="A15" s="26">
        <v>45926</v>
      </c>
      <c r="B15" s="27" t="s">
        <v>237</v>
      </c>
      <c r="C15" s="27">
        <v>175.72</v>
      </c>
      <c r="D15" s="11">
        <v>5.8</v>
      </c>
      <c r="E15" s="11">
        <f t="shared" si="1"/>
        <v>1019</v>
      </c>
      <c r="F15" s="11"/>
      <c r="G15" s="11"/>
    </row>
    <row r="16" spans="1:5">
      <c r="A16" s="26">
        <v>45927</v>
      </c>
      <c r="B16" s="27" t="s">
        <v>234</v>
      </c>
      <c r="C16" s="27">
        <v>48.43</v>
      </c>
      <c r="D16" s="11">
        <v>5.8</v>
      </c>
      <c r="E16" s="11">
        <f t="shared" si="1"/>
        <v>280</v>
      </c>
    </row>
    <row r="17" spans="1:5">
      <c r="A17" s="26">
        <v>45927</v>
      </c>
      <c r="B17" s="27" t="s">
        <v>236</v>
      </c>
      <c r="C17" s="27">
        <v>100</v>
      </c>
      <c r="D17" s="11">
        <v>5.8</v>
      </c>
      <c r="E17" s="11">
        <f t="shared" si="1"/>
        <v>580</v>
      </c>
    </row>
    <row r="18" spans="1:5">
      <c r="A18" s="26">
        <v>45927</v>
      </c>
      <c r="B18" s="27" t="s">
        <v>237</v>
      </c>
      <c r="C18" s="27">
        <v>104.1</v>
      </c>
      <c r="D18" s="11">
        <v>5.8</v>
      </c>
      <c r="E18" s="11">
        <f t="shared" si="1"/>
        <v>603</v>
      </c>
    </row>
    <row r="19" spans="1:5">
      <c r="A19" s="26">
        <v>45927</v>
      </c>
      <c r="B19" s="27" t="s">
        <v>238</v>
      </c>
      <c r="C19" s="27">
        <v>252.35</v>
      </c>
      <c r="D19" s="11">
        <v>5.8</v>
      </c>
      <c r="E19" s="11">
        <f t="shared" si="1"/>
        <v>1463</v>
      </c>
    </row>
    <row r="20" spans="1:5">
      <c r="A20" s="26">
        <v>45928</v>
      </c>
      <c r="B20" s="27" t="s">
        <v>236</v>
      </c>
      <c r="C20" s="27">
        <v>120.78</v>
      </c>
      <c r="D20" s="11">
        <v>5.8</v>
      </c>
      <c r="E20" s="11">
        <f t="shared" si="1"/>
        <v>700</v>
      </c>
    </row>
    <row r="21" spans="1:5">
      <c r="A21" s="26">
        <v>45928</v>
      </c>
      <c r="B21" s="27" t="s">
        <v>239</v>
      </c>
      <c r="C21" s="27">
        <v>193.24</v>
      </c>
      <c r="D21" s="11">
        <v>5.8</v>
      </c>
      <c r="E21" s="11">
        <f t="shared" si="1"/>
        <v>1120</v>
      </c>
    </row>
    <row r="22" spans="1:5">
      <c r="A22" s="26">
        <v>45928</v>
      </c>
      <c r="B22" s="27" t="s">
        <v>235</v>
      </c>
      <c r="C22" s="27">
        <v>256.04</v>
      </c>
      <c r="D22" s="11">
        <v>5.8</v>
      </c>
      <c r="E22" s="11">
        <f t="shared" si="1"/>
        <v>1485</v>
      </c>
    </row>
    <row r="23" spans="1:5">
      <c r="A23" s="26">
        <v>45928</v>
      </c>
      <c r="B23" s="27" t="s">
        <v>238</v>
      </c>
      <c r="C23" s="27">
        <v>122.97</v>
      </c>
      <c r="D23" s="11">
        <v>5.8</v>
      </c>
      <c r="E23" s="11">
        <f t="shared" si="1"/>
        <v>713</v>
      </c>
    </row>
    <row r="24" s="35" customFormat="1" spans="1:5">
      <c r="A24" s="37">
        <v>45928</v>
      </c>
      <c r="B24" s="38" t="s">
        <v>234</v>
      </c>
      <c r="C24" s="38">
        <v>114.71</v>
      </c>
      <c r="D24" s="39">
        <v>5.8</v>
      </c>
      <c r="E24" s="39">
        <f t="shared" si="1"/>
        <v>665</v>
      </c>
    </row>
    <row r="25" spans="1:5">
      <c r="A25" s="26">
        <v>45929</v>
      </c>
      <c r="B25" s="27" t="s">
        <v>234</v>
      </c>
      <c r="C25" s="27">
        <v>194.96</v>
      </c>
      <c r="D25" s="11">
        <v>5.8</v>
      </c>
      <c r="E25" s="11">
        <f t="shared" ref="E25:E31" si="2">INT(C25*D25)</f>
        <v>1130</v>
      </c>
    </row>
    <row r="26" spans="1:5">
      <c r="A26" s="26">
        <v>45929</v>
      </c>
      <c r="B26" s="27" t="s">
        <v>237</v>
      </c>
      <c r="C26" s="27">
        <v>160.92</v>
      </c>
      <c r="D26" s="11">
        <v>5.8</v>
      </c>
      <c r="E26" s="11">
        <f t="shared" si="2"/>
        <v>933</v>
      </c>
    </row>
    <row r="27" spans="1:5">
      <c r="A27" s="26">
        <v>45930</v>
      </c>
      <c r="B27" s="27" t="s">
        <v>235</v>
      </c>
      <c r="C27" s="27">
        <v>164.26</v>
      </c>
      <c r="D27" s="11">
        <v>5.8</v>
      </c>
      <c r="E27" s="11">
        <f t="shared" si="2"/>
        <v>952</v>
      </c>
    </row>
    <row r="28" spans="1:5">
      <c r="A28" s="26">
        <v>45930</v>
      </c>
      <c r="B28" s="27" t="s">
        <v>236</v>
      </c>
      <c r="C28" s="27">
        <v>177.52</v>
      </c>
      <c r="D28" s="11">
        <v>5.8</v>
      </c>
      <c r="E28" s="11">
        <f t="shared" si="2"/>
        <v>1029</v>
      </c>
    </row>
    <row r="29" spans="1:5">
      <c r="A29" s="26">
        <v>45930</v>
      </c>
      <c r="B29" s="27" t="s">
        <v>238</v>
      </c>
      <c r="C29" s="27">
        <v>210.91</v>
      </c>
      <c r="D29" s="11">
        <v>5.8</v>
      </c>
      <c r="E29" s="11">
        <f t="shared" si="2"/>
        <v>1223</v>
      </c>
    </row>
    <row r="30" spans="1:5">
      <c r="A30" s="26">
        <v>45931</v>
      </c>
      <c r="B30" s="27" t="s">
        <v>238</v>
      </c>
      <c r="C30" s="27">
        <v>187.23</v>
      </c>
      <c r="D30" s="11">
        <v>5.8</v>
      </c>
      <c r="E30" s="11">
        <f t="shared" si="2"/>
        <v>1085</v>
      </c>
    </row>
    <row r="31" spans="1:5">
      <c r="A31" s="26">
        <v>45931</v>
      </c>
      <c r="B31" s="27" t="s">
        <v>239</v>
      </c>
      <c r="C31" s="27">
        <v>242.18</v>
      </c>
      <c r="D31" s="11">
        <v>5.8</v>
      </c>
      <c r="E31" s="11">
        <f t="shared" si="2"/>
        <v>1404</v>
      </c>
    </row>
    <row r="32" spans="1:5">
      <c r="A32" s="26">
        <v>45932</v>
      </c>
      <c r="B32" s="27" t="s">
        <v>235</v>
      </c>
      <c r="C32" s="27">
        <v>202.82</v>
      </c>
      <c r="D32" s="11">
        <v>5.8</v>
      </c>
      <c r="E32" s="11">
        <f t="shared" ref="E32:E43" si="3">INT(C32*D32)</f>
        <v>1176</v>
      </c>
    </row>
    <row r="33" spans="1:5">
      <c r="A33" s="26">
        <v>45932</v>
      </c>
      <c r="B33" s="27" t="s">
        <v>237</v>
      </c>
      <c r="C33" s="27">
        <v>228.81</v>
      </c>
      <c r="D33" s="11">
        <v>5.8</v>
      </c>
      <c r="E33" s="11">
        <f t="shared" si="3"/>
        <v>1327</v>
      </c>
    </row>
    <row r="34" spans="1:5">
      <c r="A34" s="26">
        <v>45932</v>
      </c>
      <c r="B34" s="27" t="s">
        <v>234</v>
      </c>
      <c r="C34" s="27">
        <v>195.32</v>
      </c>
      <c r="D34" s="11">
        <v>5.8</v>
      </c>
      <c r="E34" s="11">
        <f t="shared" si="3"/>
        <v>1132</v>
      </c>
    </row>
    <row r="35" spans="1:5">
      <c r="A35" s="26">
        <v>45932</v>
      </c>
      <c r="B35" s="27" t="s">
        <v>236</v>
      </c>
      <c r="C35" s="27">
        <v>147.93</v>
      </c>
      <c r="D35" s="11">
        <v>5.8</v>
      </c>
      <c r="E35" s="11">
        <f t="shared" si="3"/>
        <v>857</v>
      </c>
    </row>
    <row r="36" spans="1:5">
      <c r="A36" s="26">
        <v>45933</v>
      </c>
      <c r="B36" s="27" t="s">
        <v>235</v>
      </c>
      <c r="C36" s="27">
        <v>196.36</v>
      </c>
      <c r="D36" s="11">
        <v>5.8</v>
      </c>
      <c r="E36" s="11">
        <f t="shared" si="3"/>
        <v>1138</v>
      </c>
    </row>
    <row r="37" spans="1:5">
      <c r="A37" s="26">
        <v>45933</v>
      </c>
      <c r="B37" s="27" t="s">
        <v>237</v>
      </c>
      <c r="C37" s="27">
        <v>207.91</v>
      </c>
      <c r="D37" s="11">
        <v>5.8</v>
      </c>
      <c r="E37" s="11">
        <f t="shared" si="3"/>
        <v>1205</v>
      </c>
    </row>
    <row r="38" spans="1:5">
      <c r="A38" s="26">
        <v>45933</v>
      </c>
      <c r="B38" s="27" t="s">
        <v>238</v>
      </c>
      <c r="C38" s="27">
        <v>241.31</v>
      </c>
      <c r="D38" s="11">
        <v>5.8</v>
      </c>
      <c r="E38" s="11">
        <f t="shared" si="3"/>
        <v>1399</v>
      </c>
    </row>
    <row r="39" spans="1:5">
      <c r="A39" s="26">
        <v>45933</v>
      </c>
      <c r="B39" s="27" t="s">
        <v>234</v>
      </c>
      <c r="C39" s="27">
        <v>177.14</v>
      </c>
      <c r="D39" s="11">
        <v>5.8</v>
      </c>
      <c r="E39" s="11">
        <f t="shared" si="3"/>
        <v>1027</v>
      </c>
    </row>
    <row r="40" spans="1:5">
      <c r="A40" s="26">
        <v>45933</v>
      </c>
      <c r="B40" s="27" t="s">
        <v>239</v>
      </c>
      <c r="C40" s="27">
        <v>213.07</v>
      </c>
      <c r="D40" s="11">
        <v>5.8</v>
      </c>
      <c r="E40" s="11">
        <f t="shared" si="3"/>
        <v>1235</v>
      </c>
    </row>
    <row r="41" spans="1:5">
      <c r="A41" s="26">
        <v>45934</v>
      </c>
      <c r="B41" s="27" t="s">
        <v>238</v>
      </c>
      <c r="C41" s="27">
        <v>166.84</v>
      </c>
      <c r="D41" s="11">
        <v>5.8</v>
      </c>
      <c r="E41" s="11">
        <f t="shared" si="3"/>
        <v>967</v>
      </c>
    </row>
    <row r="42" spans="1:5">
      <c r="A42" s="26">
        <v>45934</v>
      </c>
      <c r="B42" s="27" t="s">
        <v>237</v>
      </c>
      <c r="C42" s="27">
        <v>170.5</v>
      </c>
      <c r="D42" s="11">
        <v>5.8</v>
      </c>
      <c r="E42" s="11">
        <f t="shared" si="3"/>
        <v>988</v>
      </c>
    </row>
    <row r="43" spans="1:5">
      <c r="A43" s="26">
        <v>45934</v>
      </c>
      <c r="B43" s="27" t="s">
        <v>234</v>
      </c>
      <c r="C43" s="27">
        <v>205.82</v>
      </c>
      <c r="D43" s="11">
        <v>5.8</v>
      </c>
      <c r="E43" s="11">
        <f t="shared" si="3"/>
        <v>1193</v>
      </c>
    </row>
    <row r="44" spans="4:6">
      <c r="D44" s="11"/>
      <c r="E44" s="11"/>
      <c r="F44">
        <f>SUM(E32:E43)</f>
        <v>13644</v>
      </c>
    </row>
    <row r="45" spans="1:5">
      <c r="A45" s="26">
        <v>45937</v>
      </c>
      <c r="B45" s="27" t="s">
        <v>235</v>
      </c>
      <c r="C45" s="27">
        <v>199.71</v>
      </c>
      <c r="D45" s="11">
        <v>5.8</v>
      </c>
      <c r="E45" s="11">
        <f>INT(C45*D45)</f>
        <v>1158</v>
      </c>
    </row>
    <row r="46" spans="1:5">
      <c r="A46" s="26">
        <v>45938</v>
      </c>
      <c r="B46" s="27" t="s">
        <v>237</v>
      </c>
      <c r="C46" s="27">
        <v>220.58</v>
      </c>
      <c r="D46" s="11">
        <v>5.8</v>
      </c>
      <c r="E46" s="11">
        <f>INT(C46*D46)</f>
        <v>1279</v>
      </c>
    </row>
    <row r="47" spans="1:5">
      <c r="A47" s="26">
        <v>45938</v>
      </c>
      <c r="B47" s="27" t="s">
        <v>234</v>
      </c>
      <c r="C47" s="27">
        <v>259.48</v>
      </c>
      <c r="D47" s="11">
        <v>5.8</v>
      </c>
      <c r="E47" s="11">
        <f>INT(C47*D47)</f>
        <v>1504</v>
      </c>
    </row>
    <row r="48" spans="4:6">
      <c r="D48" s="11"/>
      <c r="E48" s="11"/>
      <c r="F48">
        <f>SUM(E45:E47)</f>
        <v>3941</v>
      </c>
    </row>
    <row r="49" spans="1:5">
      <c r="A49" s="26">
        <v>45939</v>
      </c>
      <c r="B49" s="27" t="s">
        <v>238</v>
      </c>
      <c r="C49" s="27">
        <v>220.84</v>
      </c>
      <c r="D49" s="11">
        <v>5.8</v>
      </c>
      <c r="E49" s="11">
        <f t="shared" ref="E49:E55" si="4">INT(C49*D49)</f>
        <v>1280</v>
      </c>
    </row>
    <row r="50" spans="1:5">
      <c r="A50" s="26">
        <v>45939</v>
      </c>
      <c r="B50" s="27" t="s">
        <v>235</v>
      </c>
      <c r="C50" s="27">
        <v>178.17</v>
      </c>
      <c r="D50" s="11">
        <v>5.8</v>
      </c>
      <c r="E50" s="11">
        <f t="shared" si="4"/>
        <v>1033</v>
      </c>
    </row>
    <row r="51" spans="1:5">
      <c r="A51" s="26">
        <v>45939</v>
      </c>
      <c r="B51" s="27" t="s">
        <v>237</v>
      </c>
      <c r="C51" s="27">
        <v>144.93</v>
      </c>
      <c r="D51" s="11">
        <v>5.8</v>
      </c>
      <c r="E51" s="11">
        <f t="shared" si="4"/>
        <v>840</v>
      </c>
    </row>
    <row r="52" spans="1:5">
      <c r="A52" s="26">
        <v>45940</v>
      </c>
      <c r="B52" s="27" t="s">
        <v>234</v>
      </c>
      <c r="C52" s="27">
        <v>225.49</v>
      </c>
      <c r="D52" s="11">
        <v>5.8</v>
      </c>
      <c r="E52" s="11">
        <f t="shared" si="4"/>
        <v>1307</v>
      </c>
    </row>
    <row r="53" spans="4:6">
      <c r="D53" s="11"/>
      <c r="E53" s="11">
        <f t="shared" si="4"/>
        <v>0</v>
      </c>
      <c r="F53">
        <f>SUM(E49:E52)</f>
        <v>4460</v>
      </c>
    </row>
    <row r="54" spans="1:5">
      <c r="A54" s="26">
        <v>45941</v>
      </c>
      <c r="B54" s="27" t="s">
        <v>239</v>
      </c>
      <c r="C54" s="27">
        <v>231.41</v>
      </c>
      <c r="D54" s="11">
        <v>5.8</v>
      </c>
      <c r="E54" s="11">
        <f t="shared" si="4"/>
        <v>1342</v>
      </c>
    </row>
    <row r="55" spans="1:5">
      <c r="A55" s="26">
        <v>45941</v>
      </c>
      <c r="B55" s="27" t="s">
        <v>236</v>
      </c>
      <c r="C55" s="27">
        <v>167.86</v>
      </c>
      <c r="D55" s="11">
        <v>5.8</v>
      </c>
      <c r="E55" s="11">
        <f t="shared" si="4"/>
        <v>973</v>
      </c>
    </row>
    <row r="56" spans="1:5">
      <c r="A56" s="26">
        <v>45941</v>
      </c>
      <c r="B56" s="27" t="s">
        <v>234</v>
      </c>
      <c r="C56" s="27">
        <v>144.97</v>
      </c>
      <c r="D56" s="11">
        <v>5.8</v>
      </c>
      <c r="E56" s="11">
        <f t="shared" ref="E56:E64" si="5">INT(C56*D56)</f>
        <v>840</v>
      </c>
    </row>
    <row r="57" spans="1:5">
      <c r="A57" s="26">
        <v>45941</v>
      </c>
      <c r="B57" s="27" t="s">
        <v>235</v>
      </c>
      <c r="C57" s="27">
        <v>148.15</v>
      </c>
      <c r="D57" s="11">
        <v>5.8</v>
      </c>
      <c r="E57" s="11">
        <f t="shared" si="5"/>
        <v>859</v>
      </c>
    </row>
    <row r="58" spans="1:5">
      <c r="A58" s="26">
        <v>45941</v>
      </c>
      <c r="B58" s="27" t="s">
        <v>237</v>
      </c>
      <c r="C58" s="27">
        <v>187.53</v>
      </c>
      <c r="D58" s="11">
        <v>5.8</v>
      </c>
      <c r="E58" s="11">
        <f t="shared" si="5"/>
        <v>1087</v>
      </c>
    </row>
    <row r="59" spans="1:5">
      <c r="A59" s="26">
        <v>45941</v>
      </c>
      <c r="B59" s="27" t="s">
        <v>238</v>
      </c>
      <c r="C59" s="27">
        <v>173.46</v>
      </c>
      <c r="D59" s="11">
        <v>5.8</v>
      </c>
      <c r="E59" s="11">
        <f t="shared" si="5"/>
        <v>1006</v>
      </c>
    </row>
    <row r="60" spans="1:5">
      <c r="A60" s="26">
        <v>45942</v>
      </c>
      <c r="B60" s="27" t="s">
        <v>235</v>
      </c>
      <c r="C60" s="27">
        <v>169.01</v>
      </c>
      <c r="D60" s="11">
        <v>5.8</v>
      </c>
      <c r="E60" s="11">
        <f t="shared" si="5"/>
        <v>980</v>
      </c>
    </row>
    <row r="61" spans="1:5">
      <c r="A61" s="26">
        <v>45942</v>
      </c>
      <c r="B61" s="27" t="s">
        <v>237</v>
      </c>
      <c r="C61" s="27">
        <v>179.59</v>
      </c>
      <c r="D61" s="11">
        <v>5.8</v>
      </c>
      <c r="E61" s="11">
        <f t="shared" si="5"/>
        <v>1041</v>
      </c>
    </row>
    <row r="62" spans="1:5">
      <c r="A62" s="26">
        <v>45942</v>
      </c>
      <c r="B62" s="27" t="s">
        <v>238</v>
      </c>
      <c r="C62" s="27">
        <v>162.73</v>
      </c>
      <c r="D62" s="11">
        <v>5.8</v>
      </c>
      <c r="E62" s="11">
        <f t="shared" si="5"/>
        <v>943</v>
      </c>
    </row>
    <row r="63" spans="1:5">
      <c r="A63" s="26">
        <v>45942</v>
      </c>
      <c r="B63" s="27" t="s">
        <v>234</v>
      </c>
      <c r="C63" s="27">
        <v>155.17</v>
      </c>
      <c r="D63" s="11">
        <v>5.8</v>
      </c>
      <c r="E63" s="11">
        <f t="shared" si="5"/>
        <v>899</v>
      </c>
    </row>
    <row r="64" spans="1:5">
      <c r="A64" s="26">
        <v>45942</v>
      </c>
      <c r="B64" s="27" t="s">
        <v>236</v>
      </c>
      <c r="C64" s="27">
        <v>125.61</v>
      </c>
      <c r="D64" s="11">
        <v>5.8</v>
      </c>
      <c r="E64" s="11">
        <f t="shared" si="5"/>
        <v>728</v>
      </c>
    </row>
    <row r="65" spans="5:5">
      <c r="E65">
        <f>SUM(E54:E64)</f>
        <v>10698</v>
      </c>
    </row>
  </sheetData>
  <mergeCells count="1">
    <mergeCell ref="B1:D1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K19"/>
  <sheetViews>
    <sheetView workbookViewId="0">
      <selection activeCell="K2" sqref="K2"/>
    </sheetView>
  </sheetViews>
  <sheetFormatPr defaultColWidth="9" defaultRowHeight="14.25"/>
  <cols>
    <col min="5" max="5" width="9.375"/>
  </cols>
  <sheetData>
    <row r="1" ht="20.25" spans="1:7">
      <c r="A1" s="1" t="s">
        <v>0</v>
      </c>
      <c r="B1" s="2" t="s">
        <v>240</v>
      </c>
      <c r="C1" s="3"/>
      <c r="D1" s="4"/>
      <c r="E1" s="32"/>
      <c r="F1" s="6">
        <v>5.8</v>
      </c>
      <c r="G1" s="33"/>
    </row>
    <row r="2" spans="1:11">
      <c r="A2" s="14"/>
      <c r="B2" s="31"/>
      <c r="C2" s="14"/>
      <c r="D2" s="11"/>
      <c r="E2" s="14"/>
      <c r="F2" s="34"/>
      <c r="G2" s="11"/>
      <c r="K2" s="29"/>
    </row>
    <row r="3" spans="1:7">
      <c r="A3" s="14"/>
      <c r="B3" s="29"/>
      <c r="C3" s="30"/>
      <c r="D3" s="14"/>
      <c r="E3" s="14"/>
      <c r="F3" s="14"/>
      <c r="G3" s="14"/>
    </row>
    <row r="4" spans="1:7">
      <c r="A4" s="11"/>
      <c r="B4" s="11"/>
      <c r="C4" s="30"/>
      <c r="D4" s="14"/>
      <c r="E4" s="14"/>
      <c r="F4" s="14"/>
      <c r="G4" s="14"/>
    </row>
    <row r="5" spans="1:7">
      <c r="A5" s="11"/>
      <c r="B5" s="11"/>
      <c r="C5" s="30"/>
      <c r="D5" s="14"/>
      <c r="E5" s="14"/>
      <c r="F5" s="11"/>
      <c r="G5" s="14"/>
    </row>
    <row r="6" spans="1:7">
      <c r="A6" s="29"/>
      <c r="B6" s="14"/>
      <c r="C6" s="30"/>
      <c r="D6" s="14"/>
      <c r="E6" s="14"/>
      <c r="F6" s="11"/>
      <c r="G6" s="14"/>
    </row>
    <row r="7" spans="1:7">
      <c r="A7" s="29"/>
      <c r="B7" s="14"/>
      <c r="C7" s="30"/>
      <c r="D7" s="14"/>
      <c r="E7" s="14"/>
      <c r="F7" s="11"/>
      <c r="G7" s="14"/>
    </row>
    <row r="8" spans="1:7">
      <c r="A8" s="29"/>
      <c r="B8" s="14"/>
      <c r="C8" s="30"/>
      <c r="D8" s="14"/>
      <c r="E8" s="14"/>
      <c r="F8" s="11"/>
      <c r="G8" s="14"/>
    </row>
    <row r="9" spans="1:7">
      <c r="A9" s="29"/>
      <c r="B9" s="14"/>
      <c r="C9" s="30"/>
      <c r="D9" s="14"/>
      <c r="E9" s="14"/>
      <c r="F9" s="14"/>
      <c r="G9" s="14"/>
    </row>
    <row r="11" spans="1:7">
      <c r="A11" s="20" t="s">
        <v>19</v>
      </c>
      <c r="B11" s="21" t="s">
        <v>20</v>
      </c>
      <c r="C11" s="22" t="s">
        <v>21</v>
      </c>
      <c r="D11" s="21" t="s">
        <v>22</v>
      </c>
      <c r="E11" s="21" t="s">
        <v>23</v>
      </c>
      <c r="F11" s="21" t="s">
        <v>24</v>
      </c>
      <c r="G11" s="21" t="s">
        <v>25</v>
      </c>
    </row>
    <row r="12" spans="1:5">
      <c r="A12" s="26"/>
      <c r="B12" s="27"/>
      <c r="C12" s="27"/>
      <c r="D12" s="11"/>
      <c r="E12" s="11"/>
    </row>
    <row r="13" spans="1:5">
      <c r="A13" s="26"/>
      <c r="B13" s="27"/>
      <c r="C13" s="27"/>
      <c r="D13" s="11"/>
      <c r="E13" s="11"/>
    </row>
    <row r="14" spans="1:5">
      <c r="A14" s="26"/>
      <c r="B14" s="27"/>
      <c r="C14" s="27"/>
      <c r="D14" s="11"/>
      <c r="E14" s="11"/>
    </row>
    <row r="15" spans="1:5">
      <c r="A15" s="26"/>
      <c r="B15" s="27"/>
      <c r="C15" s="27"/>
      <c r="D15" s="11"/>
      <c r="E15" s="11"/>
    </row>
    <row r="16" spans="1:5">
      <c r="A16" s="26"/>
      <c r="B16" s="27"/>
      <c r="C16" s="27"/>
      <c r="D16" s="11"/>
      <c r="E16" s="11"/>
    </row>
    <row r="17" spans="1:5">
      <c r="A17" s="26"/>
      <c r="B17" s="27"/>
      <c r="C17" s="27"/>
      <c r="D17" s="11"/>
      <c r="E17" s="11"/>
    </row>
    <row r="18" spans="1:5">
      <c r="A18" s="26"/>
      <c r="B18" s="27"/>
      <c r="C18" s="27"/>
      <c r="D18" s="11"/>
      <c r="E18" s="11"/>
    </row>
    <row r="19" spans="1:5">
      <c r="A19" s="26"/>
      <c r="B19" s="27"/>
      <c r="C19" s="27"/>
      <c r="D19" s="11"/>
      <c r="E19" s="11"/>
    </row>
  </sheetData>
  <mergeCells count="1">
    <mergeCell ref="B1:D1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K30"/>
  <sheetViews>
    <sheetView workbookViewId="0">
      <selection activeCell="K3" sqref="K3:K6"/>
    </sheetView>
  </sheetViews>
  <sheetFormatPr defaultColWidth="9" defaultRowHeight="14.25"/>
  <cols>
    <col min="1" max="1" width="9.875"/>
    <col min="5" max="5" width="9.375"/>
  </cols>
  <sheetData>
    <row r="1" ht="20.25" spans="1:7">
      <c r="A1" s="1" t="s">
        <v>0</v>
      </c>
      <c r="B1" s="2" t="s">
        <v>241</v>
      </c>
      <c r="C1" s="3"/>
      <c r="D1" s="4"/>
      <c r="E1" s="5"/>
      <c r="F1" s="6"/>
      <c r="G1" s="6">
        <v>5.8</v>
      </c>
    </row>
    <row r="2" spans="1:7">
      <c r="A2" s="15" t="s">
        <v>242</v>
      </c>
      <c r="B2" s="9" t="s">
        <v>243</v>
      </c>
      <c r="C2" s="8" t="s">
        <v>244</v>
      </c>
      <c r="D2" s="9" t="s">
        <v>245</v>
      </c>
      <c r="E2" s="9"/>
      <c r="F2" s="10"/>
      <c r="G2" s="11"/>
    </row>
    <row r="3" spans="1:11">
      <c r="A3" s="19"/>
      <c r="B3" s="13"/>
      <c r="C3" s="13"/>
      <c r="D3" s="9"/>
      <c r="E3" s="9"/>
      <c r="F3" s="14"/>
      <c r="G3" s="14"/>
      <c r="K3" s="15" t="s">
        <v>242</v>
      </c>
    </row>
    <row r="4" spans="1:11">
      <c r="A4" s="15"/>
      <c r="B4" s="9"/>
      <c r="C4" s="8"/>
      <c r="D4" s="9"/>
      <c r="E4" s="9"/>
      <c r="F4" s="14"/>
      <c r="G4" s="14"/>
      <c r="K4" s="9" t="s">
        <v>243</v>
      </c>
    </row>
    <row r="5" spans="1:11">
      <c r="A5" s="15"/>
      <c r="B5" s="9"/>
      <c r="C5" s="8"/>
      <c r="D5" s="9"/>
      <c r="E5" s="9"/>
      <c r="F5" s="14"/>
      <c r="G5" s="14"/>
      <c r="K5" s="8" t="s">
        <v>244</v>
      </c>
    </row>
    <row r="6" spans="1:11">
      <c r="A6" s="15"/>
      <c r="B6" s="9"/>
      <c r="C6" s="8"/>
      <c r="D6" s="9"/>
      <c r="E6" s="9"/>
      <c r="F6" s="14"/>
      <c r="G6" s="14"/>
      <c r="K6" t="s">
        <v>245</v>
      </c>
    </row>
    <row r="7" spans="1:7">
      <c r="A7" s="15"/>
      <c r="B7" s="9"/>
      <c r="C7" s="8"/>
      <c r="D7" s="9"/>
      <c r="E7" s="9"/>
      <c r="F7" s="14"/>
      <c r="G7" s="14"/>
    </row>
    <row r="8" spans="1:7">
      <c r="A8" s="15"/>
      <c r="B8" s="9"/>
      <c r="C8" s="8"/>
      <c r="D8" s="9"/>
      <c r="E8" s="9"/>
      <c r="F8" s="14"/>
      <c r="G8" s="14"/>
    </row>
    <row r="9" spans="1:7">
      <c r="A9" s="15"/>
      <c r="B9" s="9"/>
      <c r="C9" s="8"/>
      <c r="D9" s="9"/>
      <c r="E9" s="9"/>
      <c r="F9" s="14"/>
      <c r="G9" s="14"/>
    </row>
    <row r="11" spans="1:7">
      <c r="A11" s="20" t="s">
        <v>19</v>
      </c>
      <c r="B11" s="21" t="s">
        <v>20</v>
      </c>
      <c r="C11" s="22" t="s">
        <v>21</v>
      </c>
      <c r="D11" s="21" t="s">
        <v>22</v>
      </c>
      <c r="E11" s="21" t="s">
        <v>23</v>
      </c>
      <c r="F11" s="21" t="s">
        <v>24</v>
      </c>
      <c r="G11" s="21" t="s">
        <v>25</v>
      </c>
    </row>
    <row r="12" spans="1:7">
      <c r="A12" s="26">
        <v>45932</v>
      </c>
      <c r="B12" s="27" t="s">
        <v>246</v>
      </c>
      <c r="C12" s="27">
        <v>140</v>
      </c>
      <c r="D12" s="11">
        <v>5.8</v>
      </c>
      <c r="E12" s="11">
        <f>INT(C12*D12)</f>
        <v>812</v>
      </c>
      <c r="F12" s="11"/>
      <c r="G12" s="11"/>
    </row>
    <row r="13" spans="1:7">
      <c r="A13" s="26">
        <v>45932</v>
      </c>
      <c r="B13" s="27" t="s">
        <v>247</v>
      </c>
      <c r="C13" s="27">
        <v>152.33</v>
      </c>
      <c r="D13" s="11">
        <v>5.8</v>
      </c>
      <c r="E13" s="11">
        <f t="shared" ref="E13:E19" si="0">INT(C13*D13)</f>
        <v>883</v>
      </c>
      <c r="F13" s="11"/>
      <c r="G13" s="11"/>
    </row>
    <row r="14" spans="1:7">
      <c r="A14" s="26">
        <v>45932</v>
      </c>
      <c r="B14" s="27" t="s">
        <v>248</v>
      </c>
      <c r="C14" s="27">
        <v>154.8</v>
      </c>
      <c r="D14" s="11">
        <v>5.8</v>
      </c>
      <c r="E14" s="11">
        <f t="shared" si="0"/>
        <v>897</v>
      </c>
      <c r="F14" s="11"/>
      <c r="G14" s="11"/>
    </row>
    <row r="15" spans="1:7">
      <c r="A15" s="26">
        <v>45933</v>
      </c>
      <c r="B15" s="27" t="s">
        <v>249</v>
      </c>
      <c r="C15" s="27">
        <v>154.8</v>
      </c>
      <c r="D15" s="11">
        <v>5.8</v>
      </c>
      <c r="E15" s="11">
        <f t="shared" si="0"/>
        <v>897</v>
      </c>
      <c r="F15" s="11"/>
      <c r="G15" s="11"/>
    </row>
    <row r="16" spans="1:7">
      <c r="A16" s="26">
        <v>45934</v>
      </c>
      <c r="B16" s="27" t="s">
        <v>246</v>
      </c>
      <c r="C16" s="27">
        <v>245</v>
      </c>
      <c r="D16" s="11">
        <v>5.8</v>
      </c>
      <c r="E16" s="11">
        <f t="shared" si="0"/>
        <v>1421</v>
      </c>
      <c r="F16" s="11"/>
      <c r="G16" s="11"/>
    </row>
    <row r="17" spans="1:7">
      <c r="A17" s="26">
        <v>45934</v>
      </c>
      <c r="B17" s="27" t="s">
        <v>249</v>
      </c>
      <c r="C17" s="27">
        <v>214.71</v>
      </c>
      <c r="D17" s="11">
        <v>5.8</v>
      </c>
      <c r="E17" s="11">
        <f t="shared" si="0"/>
        <v>1245</v>
      </c>
      <c r="F17" s="11"/>
      <c r="G17" s="11"/>
    </row>
    <row r="18" spans="1:7">
      <c r="A18" s="26">
        <v>45934</v>
      </c>
      <c r="B18" s="27" t="s">
        <v>247</v>
      </c>
      <c r="C18" s="27">
        <v>240</v>
      </c>
      <c r="D18" s="11">
        <v>5.8</v>
      </c>
      <c r="E18" s="11">
        <f t="shared" si="0"/>
        <v>1392</v>
      </c>
      <c r="F18" s="11"/>
      <c r="G18" s="11"/>
    </row>
    <row r="19" spans="1:7">
      <c r="A19" s="26">
        <v>45934</v>
      </c>
      <c r="B19" s="27" t="s">
        <v>248</v>
      </c>
      <c r="C19" s="27">
        <v>250</v>
      </c>
      <c r="D19" s="11">
        <v>5.8</v>
      </c>
      <c r="E19" s="11">
        <f t="shared" si="0"/>
        <v>1450</v>
      </c>
      <c r="F19" s="11"/>
      <c r="G19" s="11"/>
    </row>
    <row r="20" spans="4:6">
      <c r="D20" s="11"/>
      <c r="E20" s="11"/>
      <c r="F20">
        <f>SUM(E12:E19)</f>
        <v>8997</v>
      </c>
    </row>
    <row r="21" spans="1:5">
      <c r="A21" s="26">
        <v>45937</v>
      </c>
      <c r="B21" s="27" t="s">
        <v>246</v>
      </c>
      <c r="C21" s="27">
        <v>232.2</v>
      </c>
      <c r="D21" s="11">
        <v>5.8</v>
      </c>
      <c r="E21" s="11">
        <f>INT(C21*D21)</f>
        <v>1346</v>
      </c>
    </row>
    <row r="22" spans="1:5">
      <c r="A22" s="26">
        <v>45937</v>
      </c>
      <c r="B22" s="27" t="s">
        <v>249</v>
      </c>
      <c r="C22" s="27">
        <v>220</v>
      </c>
      <c r="D22" s="11">
        <v>5.8</v>
      </c>
      <c r="E22" s="11">
        <f>INT(C22*D22)</f>
        <v>1276</v>
      </c>
    </row>
    <row r="23" spans="1:5">
      <c r="A23" s="26">
        <v>45937</v>
      </c>
      <c r="B23" s="27" t="s">
        <v>247</v>
      </c>
      <c r="C23" s="27">
        <v>209.49</v>
      </c>
      <c r="D23" s="11">
        <v>5.8</v>
      </c>
      <c r="E23" s="11">
        <f>INT(C23*D23)</f>
        <v>1215</v>
      </c>
    </row>
    <row r="24" spans="1:5">
      <c r="A24" s="26">
        <v>45937</v>
      </c>
      <c r="B24" s="27" t="s">
        <v>248</v>
      </c>
      <c r="C24" s="27">
        <v>231.27</v>
      </c>
      <c r="D24" s="11">
        <v>5.8</v>
      </c>
      <c r="E24" s="11">
        <f>INT(C24*D24)</f>
        <v>1341</v>
      </c>
    </row>
    <row r="25" spans="4:6">
      <c r="D25" s="11"/>
      <c r="E25" s="11"/>
      <c r="F25">
        <f>SUM(E21:E24)</f>
        <v>5178</v>
      </c>
    </row>
    <row r="26" spans="1:5">
      <c r="A26" s="26">
        <v>45939</v>
      </c>
      <c r="B26" s="27" t="s">
        <v>248</v>
      </c>
      <c r="C26" s="27">
        <v>190</v>
      </c>
      <c r="D26" s="11">
        <v>5.8</v>
      </c>
      <c r="E26" s="11">
        <f>INT(C26*D26)</f>
        <v>1102</v>
      </c>
    </row>
    <row r="27" spans="1:5">
      <c r="A27" s="26">
        <v>45939</v>
      </c>
      <c r="B27" s="27" t="s">
        <v>249</v>
      </c>
      <c r="C27" s="27">
        <v>193.05</v>
      </c>
      <c r="D27" s="11">
        <v>5.8</v>
      </c>
      <c r="E27" s="11">
        <f>INT(C27*D27)</f>
        <v>1119</v>
      </c>
    </row>
    <row r="28" spans="1:5">
      <c r="A28" s="26">
        <v>45939</v>
      </c>
      <c r="B28" s="27" t="s">
        <v>247</v>
      </c>
      <c r="C28" s="27">
        <v>205</v>
      </c>
      <c r="D28" s="11">
        <v>5.8</v>
      </c>
      <c r="E28" s="11">
        <f>INT(C28*D28)</f>
        <v>1189</v>
      </c>
    </row>
    <row r="29" spans="1:5">
      <c r="A29" s="26">
        <v>45939</v>
      </c>
      <c r="B29" s="27" t="s">
        <v>246</v>
      </c>
      <c r="C29" s="27">
        <v>197.99</v>
      </c>
      <c r="D29" s="11">
        <v>5.8</v>
      </c>
      <c r="E29" s="11">
        <f>INT(C29*D29)</f>
        <v>1148</v>
      </c>
    </row>
    <row r="30" spans="5:5">
      <c r="E30">
        <f>SUM(E26:E29)</f>
        <v>4558</v>
      </c>
    </row>
  </sheetData>
  <mergeCells count="1">
    <mergeCell ref="B1:D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5"/>
  <sheetViews>
    <sheetView workbookViewId="0">
      <selection activeCell="A1" sqref="A1:G9"/>
    </sheetView>
  </sheetViews>
  <sheetFormatPr defaultColWidth="9" defaultRowHeight="14.25"/>
  <cols>
    <col min="1" max="1" width="9.86666666666667" style="18"/>
    <col min="2" max="2" width="11.8" style="18" customWidth="1"/>
    <col min="3" max="5" width="9" style="18"/>
  </cols>
  <sheetData>
    <row r="1" ht="20.25" spans="1:7">
      <c r="A1" s="1" t="s">
        <v>0</v>
      </c>
      <c r="B1" s="2" t="s">
        <v>250</v>
      </c>
      <c r="C1" s="3"/>
      <c r="D1" s="4"/>
      <c r="E1" s="5"/>
      <c r="F1" s="6"/>
      <c r="G1" s="6" t="s">
        <v>115</v>
      </c>
    </row>
    <row r="2" spans="1:12">
      <c r="A2" s="15" t="s">
        <v>251</v>
      </c>
      <c r="B2" s="9" t="s">
        <v>252</v>
      </c>
      <c r="C2" s="8" t="s">
        <v>253</v>
      </c>
      <c r="D2" s="9" t="s">
        <v>254</v>
      </c>
      <c r="E2" s="9" t="s">
        <v>255</v>
      </c>
      <c r="F2" s="10"/>
      <c r="G2" s="11"/>
      <c r="L2" s="29" t="s">
        <v>251</v>
      </c>
    </row>
    <row r="3" spans="1:12">
      <c r="A3" s="19" t="s">
        <v>256</v>
      </c>
      <c r="B3" s="13" t="s">
        <v>257</v>
      </c>
      <c r="C3" s="13" t="s">
        <v>258</v>
      </c>
      <c r="D3" s="9" t="s">
        <v>259</v>
      </c>
      <c r="E3" s="9" t="s">
        <v>260</v>
      </c>
      <c r="F3" s="14"/>
      <c r="G3" s="14"/>
      <c r="L3" s="14" t="s">
        <v>252</v>
      </c>
    </row>
    <row r="4" spans="1:12">
      <c r="A4" s="15"/>
      <c r="B4" s="9"/>
      <c r="C4" s="8"/>
      <c r="D4" s="9"/>
      <c r="E4" s="9"/>
      <c r="F4" s="14"/>
      <c r="G4" s="14"/>
      <c r="L4" s="30" t="s">
        <v>253</v>
      </c>
    </row>
    <row r="5" spans="1:12">
      <c r="A5" s="15"/>
      <c r="B5" s="9"/>
      <c r="C5" s="8"/>
      <c r="D5" s="9"/>
      <c r="E5" s="9"/>
      <c r="F5" s="14"/>
      <c r="G5" s="14"/>
      <c r="L5" s="14" t="s">
        <v>254</v>
      </c>
    </row>
    <row r="6" spans="1:12">
      <c r="A6" s="15"/>
      <c r="B6" s="9"/>
      <c r="C6" s="8"/>
      <c r="D6" s="9"/>
      <c r="E6" s="9"/>
      <c r="F6" s="14"/>
      <c r="G6" s="14"/>
      <c r="L6" s="14" t="s">
        <v>255</v>
      </c>
    </row>
    <row r="7" spans="1:12">
      <c r="A7" s="15"/>
      <c r="B7" s="9"/>
      <c r="C7" s="8"/>
      <c r="D7" s="9"/>
      <c r="E7" s="9"/>
      <c r="F7" s="14"/>
      <c r="G7" s="14"/>
      <c r="L7" s="31" t="s">
        <v>256</v>
      </c>
    </row>
    <row r="8" spans="1:12">
      <c r="A8" s="15"/>
      <c r="B8" s="9"/>
      <c r="C8" s="8"/>
      <c r="D8" s="9"/>
      <c r="E8" s="9"/>
      <c r="F8" s="14"/>
      <c r="G8" s="14"/>
      <c r="L8" s="11" t="s">
        <v>257</v>
      </c>
    </row>
    <row r="9" spans="1:12">
      <c r="A9" s="15"/>
      <c r="B9" s="9"/>
      <c r="C9" s="8"/>
      <c r="D9" s="9"/>
      <c r="E9" s="9"/>
      <c r="F9" s="14"/>
      <c r="G9" s="14"/>
      <c r="L9" s="11" t="s">
        <v>258</v>
      </c>
    </row>
    <row r="10" spans="12:12">
      <c r="L10" s="14" t="s">
        <v>259</v>
      </c>
    </row>
    <row r="11" spans="1:12">
      <c r="A11" s="20" t="s">
        <v>19</v>
      </c>
      <c r="B11" s="21" t="s">
        <v>20</v>
      </c>
      <c r="C11" s="22" t="s">
        <v>21</v>
      </c>
      <c r="D11" s="21" t="s">
        <v>22</v>
      </c>
      <c r="E11" s="21" t="s">
        <v>23</v>
      </c>
      <c r="F11" s="21" t="s">
        <v>24</v>
      </c>
      <c r="G11" s="21" t="s">
        <v>25</v>
      </c>
      <c r="L11" s="14" t="s">
        <v>260</v>
      </c>
    </row>
    <row r="12" spans="1:7">
      <c r="A12" s="23">
        <v>45923</v>
      </c>
      <c r="B12" s="24" t="s">
        <v>261</v>
      </c>
      <c r="C12" s="24">
        <v>243.93</v>
      </c>
      <c r="D12" s="25" t="str">
        <f t="shared" ref="D12" si="0">IF(C12&gt;=200,"5.8",IF(C12&lt;200,"6"))</f>
        <v>5.8</v>
      </c>
      <c r="E12" s="25">
        <f t="shared" ref="E12" si="1">INT(C12*D12)</f>
        <v>1414</v>
      </c>
      <c r="F12" s="11"/>
      <c r="G12" s="11" t="s">
        <v>262</v>
      </c>
    </row>
    <row r="13" spans="1:7">
      <c r="A13" s="23">
        <v>45923</v>
      </c>
      <c r="B13" s="24" t="s">
        <v>263</v>
      </c>
      <c r="C13" s="24">
        <v>200.04</v>
      </c>
      <c r="D13" s="25" t="str">
        <f t="shared" ref="D13:D21" si="2">IF(C13&gt;=200,"5.8",IF(C13&lt;200,"6"))</f>
        <v>5.8</v>
      </c>
      <c r="E13" s="25">
        <f t="shared" ref="E13:E21" si="3">INT(C13*D13)</f>
        <v>1160</v>
      </c>
      <c r="F13" s="11"/>
      <c r="G13" s="11" t="s">
        <v>262</v>
      </c>
    </row>
    <row r="14" spans="1:7">
      <c r="A14" s="23">
        <v>45923</v>
      </c>
      <c r="B14" s="24" t="s">
        <v>264</v>
      </c>
      <c r="C14" s="24">
        <v>300</v>
      </c>
      <c r="D14" s="25" t="str">
        <f t="shared" si="2"/>
        <v>5.8</v>
      </c>
      <c r="E14" s="25">
        <f t="shared" si="3"/>
        <v>1740</v>
      </c>
      <c r="F14" s="11"/>
      <c r="G14" s="11" t="s">
        <v>262</v>
      </c>
    </row>
    <row r="15" spans="1:7">
      <c r="A15" s="23">
        <v>45923</v>
      </c>
      <c r="B15" s="24" t="s">
        <v>265</v>
      </c>
      <c r="C15" s="24">
        <v>376</v>
      </c>
      <c r="D15" s="25" t="str">
        <f t="shared" si="2"/>
        <v>5.8</v>
      </c>
      <c r="E15" s="25">
        <f t="shared" si="3"/>
        <v>2180</v>
      </c>
      <c r="F15" s="11"/>
      <c r="G15" s="11" t="s">
        <v>262</v>
      </c>
    </row>
    <row r="16" spans="1:7">
      <c r="A16" s="23">
        <v>45923</v>
      </c>
      <c r="B16" s="24" t="s">
        <v>266</v>
      </c>
      <c r="C16" s="24">
        <v>200</v>
      </c>
      <c r="D16" s="25" t="str">
        <f t="shared" si="2"/>
        <v>5.8</v>
      </c>
      <c r="E16" s="25">
        <f t="shared" si="3"/>
        <v>1160</v>
      </c>
      <c r="F16" s="11"/>
      <c r="G16" s="11" t="s">
        <v>262</v>
      </c>
    </row>
    <row r="17" spans="1:7">
      <c r="A17" s="23">
        <v>45925</v>
      </c>
      <c r="B17" s="24" t="s">
        <v>267</v>
      </c>
      <c r="C17" s="24">
        <v>210.87</v>
      </c>
      <c r="D17" s="25" t="str">
        <f t="shared" si="2"/>
        <v>5.8</v>
      </c>
      <c r="E17" s="25">
        <f t="shared" si="3"/>
        <v>1223</v>
      </c>
      <c r="F17" s="11"/>
      <c r="G17" s="11" t="s">
        <v>262</v>
      </c>
    </row>
    <row r="18" spans="1:7">
      <c r="A18" s="23">
        <v>45925</v>
      </c>
      <c r="B18" s="24" t="s">
        <v>268</v>
      </c>
      <c r="C18" s="24">
        <v>300</v>
      </c>
      <c r="D18" s="25" t="str">
        <f t="shared" si="2"/>
        <v>5.8</v>
      </c>
      <c r="E18" s="25">
        <f t="shared" si="3"/>
        <v>1740</v>
      </c>
      <c r="F18" s="11"/>
      <c r="G18" s="11" t="s">
        <v>262</v>
      </c>
    </row>
    <row r="19" spans="1:7">
      <c r="A19" s="23">
        <v>45925</v>
      </c>
      <c r="B19" s="24" t="s">
        <v>269</v>
      </c>
      <c r="C19" s="24">
        <v>224</v>
      </c>
      <c r="D19" s="25" t="str">
        <f t="shared" si="2"/>
        <v>5.8</v>
      </c>
      <c r="E19" s="25">
        <f t="shared" si="3"/>
        <v>1299</v>
      </c>
      <c r="F19" s="11"/>
      <c r="G19" s="11" t="s">
        <v>262</v>
      </c>
    </row>
    <row r="20" spans="1:7">
      <c r="A20" s="23">
        <v>45925</v>
      </c>
      <c r="B20" s="24" t="s">
        <v>270</v>
      </c>
      <c r="C20" s="24">
        <v>568.85</v>
      </c>
      <c r="D20" s="25" t="str">
        <f t="shared" si="2"/>
        <v>5.8</v>
      </c>
      <c r="E20" s="25">
        <f t="shared" si="3"/>
        <v>3299</v>
      </c>
      <c r="F20" s="11"/>
      <c r="G20" s="11" t="s">
        <v>262</v>
      </c>
    </row>
    <row r="21" ht="13.5" customHeight="1" spans="1:7">
      <c r="A21" s="23">
        <v>45925</v>
      </c>
      <c r="B21" s="24" t="s">
        <v>271</v>
      </c>
      <c r="C21" s="24">
        <v>209</v>
      </c>
      <c r="D21" s="25" t="str">
        <f t="shared" si="2"/>
        <v>5.8</v>
      </c>
      <c r="E21" s="25">
        <f t="shared" si="3"/>
        <v>1212</v>
      </c>
      <c r="F21" s="11"/>
      <c r="G21" s="11" t="s">
        <v>262</v>
      </c>
    </row>
    <row r="22" spans="1:7">
      <c r="A22" s="26">
        <v>45927</v>
      </c>
      <c r="B22" s="27" t="s">
        <v>264</v>
      </c>
      <c r="C22" s="27">
        <v>342.73</v>
      </c>
      <c r="D22" s="25" t="str">
        <f t="shared" ref="D22:D31" si="4">IF(C22&gt;=200,"5.8",IF(C22&lt;200,"6"))</f>
        <v>5.8</v>
      </c>
      <c r="E22" s="25">
        <f t="shared" ref="E22:E31" si="5">INT(C22*D22)</f>
        <v>1987</v>
      </c>
      <c r="F22" s="11"/>
      <c r="G22" s="11" t="s">
        <v>262</v>
      </c>
    </row>
    <row r="23" spans="1:7">
      <c r="A23" s="26">
        <v>45927</v>
      </c>
      <c r="B23" s="27" t="s">
        <v>265</v>
      </c>
      <c r="C23" s="27">
        <v>230.23</v>
      </c>
      <c r="D23" s="25" t="str">
        <f t="shared" si="4"/>
        <v>5.8</v>
      </c>
      <c r="E23" s="25">
        <f t="shared" si="5"/>
        <v>1335</v>
      </c>
      <c r="F23" s="11"/>
      <c r="G23" s="11" t="s">
        <v>262</v>
      </c>
    </row>
    <row r="24" spans="1:7">
      <c r="A24" s="26">
        <v>45927</v>
      </c>
      <c r="B24" s="27" t="s">
        <v>266</v>
      </c>
      <c r="C24" s="27">
        <v>200</v>
      </c>
      <c r="D24" s="25" t="str">
        <f t="shared" si="4"/>
        <v>5.8</v>
      </c>
      <c r="E24" s="25">
        <f t="shared" si="5"/>
        <v>1160</v>
      </c>
      <c r="F24" s="11"/>
      <c r="G24" s="11" t="s">
        <v>262</v>
      </c>
    </row>
    <row r="25" spans="1:7">
      <c r="A25" s="26">
        <v>45928</v>
      </c>
      <c r="B25" s="27" t="s">
        <v>267</v>
      </c>
      <c r="C25" s="27">
        <v>200</v>
      </c>
      <c r="D25" s="25" t="str">
        <f t="shared" si="4"/>
        <v>5.8</v>
      </c>
      <c r="E25" s="25">
        <f t="shared" si="5"/>
        <v>1160</v>
      </c>
      <c r="F25" s="11"/>
      <c r="G25" s="11" t="s">
        <v>262</v>
      </c>
    </row>
    <row r="26" spans="1:7">
      <c r="A26" s="26">
        <v>45928</v>
      </c>
      <c r="B26" s="27" t="s">
        <v>268</v>
      </c>
      <c r="C26" s="27">
        <v>200</v>
      </c>
      <c r="D26" s="25" t="str">
        <f t="shared" si="4"/>
        <v>5.8</v>
      </c>
      <c r="E26" s="25">
        <f t="shared" si="5"/>
        <v>1160</v>
      </c>
      <c r="F26" s="11"/>
      <c r="G26" s="28" t="s">
        <v>110</v>
      </c>
    </row>
    <row r="27" spans="1:7">
      <c r="A27" s="26">
        <v>45928</v>
      </c>
      <c r="B27" s="27" t="s">
        <v>269</v>
      </c>
      <c r="C27" s="27">
        <v>200</v>
      </c>
      <c r="D27" s="25" t="str">
        <f t="shared" si="4"/>
        <v>5.8</v>
      </c>
      <c r="E27" s="25">
        <f t="shared" si="5"/>
        <v>1160</v>
      </c>
      <c r="F27" s="11"/>
      <c r="G27" s="11" t="s">
        <v>262</v>
      </c>
    </row>
    <row r="28" spans="1:7">
      <c r="A28" s="26">
        <v>45928</v>
      </c>
      <c r="B28" s="27" t="s">
        <v>270</v>
      </c>
      <c r="C28" s="27">
        <v>218.83</v>
      </c>
      <c r="D28" s="25" t="str">
        <f t="shared" si="4"/>
        <v>5.8</v>
      </c>
      <c r="E28" s="25">
        <f t="shared" si="5"/>
        <v>1269</v>
      </c>
      <c r="F28" s="11"/>
      <c r="G28" s="11" t="s">
        <v>262</v>
      </c>
    </row>
    <row r="29" spans="1:7">
      <c r="A29" s="26">
        <v>45928</v>
      </c>
      <c r="B29" s="27" t="s">
        <v>271</v>
      </c>
      <c r="C29" s="27">
        <v>290.01</v>
      </c>
      <c r="D29" s="25" t="str">
        <f t="shared" si="4"/>
        <v>5.8</v>
      </c>
      <c r="E29" s="25">
        <f t="shared" si="5"/>
        <v>1682</v>
      </c>
      <c r="F29" s="11"/>
      <c r="G29" s="11" t="s">
        <v>262</v>
      </c>
    </row>
    <row r="30" spans="1:7">
      <c r="A30" s="26">
        <v>45928</v>
      </c>
      <c r="B30" s="27" t="s">
        <v>261</v>
      </c>
      <c r="C30" s="27">
        <v>205</v>
      </c>
      <c r="D30" s="25" t="str">
        <f t="shared" si="4"/>
        <v>5.8</v>
      </c>
      <c r="E30" s="25">
        <f t="shared" si="5"/>
        <v>1189</v>
      </c>
      <c r="F30" s="11"/>
      <c r="G30" s="11" t="s">
        <v>262</v>
      </c>
    </row>
    <row r="31" spans="1:7">
      <c r="A31" s="26">
        <v>45928</v>
      </c>
      <c r="B31" s="27" t="s">
        <v>263</v>
      </c>
      <c r="C31" s="27">
        <v>400</v>
      </c>
      <c r="D31" s="25" t="str">
        <f t="shared" si="4"/>
        <v>5.8</v>
      </c>
      <c r="E31" s="25">
        <f t="shared" si="5"/>
        <v>2320</v>
      </c>
      <c r="F31" s="11"/>
      <c r="G31" s="11" t="s">
        <v>110</v>
      </c>
    </row>
    <row r="32" spans="1:7">
      <c r="A32" s="26"/>
      <c r="B32" s="27"/>
      <c r="C32" s="27"/>
      <c r="D32" s="25"/>
      <c r="E32" s="25"/>
      <c r="F32" s="11"/>
      <c r="G32" s="11"/>
    </row>
    <row r="33" spans="1:7">
      <c r="A33" s="26">
        <v>45929</v>
      </c>
      <c r="B33" s="27" t="s">
        <v>264</v>
      </c>
      <c r="C33" s="27">
        <v>220</v>
      </c>
      <c r="D33" s="25" t="str">
        <f t="shared" ref="D33:D38" si="6">IF(C33&gt;=200,"5.8",IF(C33&lt;200,"6"))</f>
        <v>5.8</v>
      </c>
      <c r="E33" s="25">
        <f t="shared" ref="E33:E38" si="7">INT(C33*D33)</f>
        <v>1276</v>
      </c>
      <c r="F33" s="11"/>
      <c r="G33" s="11" t="s">
        <v>262</v>
      </c>
    </row>
    <row r="34" spans="1:7">
      <c r="A34" s="26">
        <v>45929</v>
      </c>
      <c r="B34" s="27" t="s">
        <v>265</v>
      </c>
      <c r="C34" s="27">
        <v>500</v>
      </c>
      <c r="D34" s="25" t="str">
        <f t="shared" si="6"/>
        <v>5.8</v>
      </c>
      <c r="E34" s="25">
        <f t="shared" si="7"/>
        <v>2900</v>
      </c>
      <c r="F34" s="11"/>
      <c r="G34" s="11" t="s">
        <v>110</v>
      </c>
    </row>
    <row r="35" spans="1:7">
      <c r="A35" s="26">
        <v>45929</v>
      </c>
      <c r="B35" s="27" t="s">
        <v>266</v>
      </c>
      <c r="C35" s="27">
        <v>200</v>
      </c>
      <c r="D35" s="25" t="str">
        <f t="shared" si="6"/>
        <v>5.8</v>
      </c>
      <c r="E35" s="25">
        <f t="shared" si="7"/>
        <v>1160</v>
      </c>
      <c r="F35" s="11"/>
      <c r="G35" s="11" t="s">
        <v>262</v>
      </c>
    </row>
    <row r="36" spans="1:7">
      <c r="A36" s="26">
        <v>45930</v>
      </c>
      <c r="B36" s="27" t="s">
        <v>263</v>
      </c>
      <c r="C36" s="27">
        <v>200</v>
      </c>
      <c r="D36" s="25" t="str">
        <f t="shared" si="6"/>
        <v>5.8</v>
      </c>
      <c r="E36" s="25">
        <f t="shared" si="7"/>
        <v>1160</v>
      </c>
      <c r="F36" s="11"/>
      <c r="G36" s="11" t="s">
        <v>262</v>
      </c>
    </row>
    <row r="37" spans="1:7">
      <c r="A37" s="26">
        <v>45931</v>
      </c>
      <c r="B37" s="27" t="s">
        <v>271</v>
      </c>
      <c r="C37" s="27">
        <v>368.35</v>
      </c>
      <c r="D37" s="25">
        <v>5.75</v>
      </c>
      <c r="E37" s="25">
        <f t="shared" si="7"/>
        <v>2118</v>
      </c>
      <c r="F37" s="11"/>
      <c r="G37" s="11" t="s">
        <v>110</v>
      </c>
    </row>
    <row r="38" spans="1:7">
      <c r="A38" s="26">
        <v>45931</v>
      </c>
      <c r="B38" s="27" t="s">
        <v>261</v>
      </c>
      <c r="C38" s="27">
        <v>500</v>
      </c>
      <c r="D38" s="25" t="str">
        <f t="shared" si="6"/>
        <v>5.8</v>
      </c>
      <c r="E38" s="25">
        <f t="shared" si="7"/>
        <v>2900</v>
      </c>
      <c r="F38" s="11"/>
      <c r="G38" s="11" t="s">
        <v>110</v>
      </c>
    </row>
    <row r="39" spans="1:7">
      <c r="A39" s="23"/>
      <c r="B39" s="24"/>
      <c r="C39" s="24"/>
      <c r="D39" s="25"/>
      <c r="E39" s="25"/>
      <c r="F39" s="11"/>
      <c r="G39" s="11"/>
    </row>
    <row r="40" spans="1:7">
      <c r="A40" s="26">
        <v>45932</v>
      </c>
      <c r="B40" s="27" t="s">
        <v>270</v>
      </c>
      <c r="C40" s="27">
        <v>200</v>
      </c>
      <c r="D40" s="25" t="str">
        <f>IF(C40&gt;=200,"5.8",IF(C40&lt;200,"6"))</f>
        <v>5.8</v>
      </c>
      <c r="E40" s="25">
        <f>INT(C40*D40)</f>
        <v>1160</v>
      </c>
      <c r="F40" s="11"/>
      <c r="G40" s="11"/>
    </row>
    <row r="41" spans="1:7">
      <c r="A41" s="26">
        <v>45933</v>
      </c>
      <c r="B41" s="27" t="s">
        <v>268</v>
      </c>
      <c r="C41" s="27">
        <v>287.83</v>
      </c>
      <c r="D41" s="25" t="str">
        <f>IF(C41&gt;=200,"5.8",IF(C41&lt;200,"6"))</f>
        <v>5.8</v>
      </c>
      <c r="E41" s="25">
        <f>INT(C41*D41)</f>
        <v>1669</v>
      </c>
      <c r="F41" s="11"/>
      <c r="G41" s="11"/>
    </row>
    <row r="42" spans="1:7">
      <c r="A42" s="26">
        <v>45933</v>
      </c>
      <c r="B42" s="27" t="s">
        <v>269</v>
      </c>
      <c r="C42" s="27">
        <v>200</v>
      </c>
      <c r="D42" s="25" t="str">
        <f>IF(C42&gt;=200,"5.8",IF(C42&lt;200,"6"))</f>
        <v>5.8</v>
      </c>
      <c r="E42" s="25">
        <f>INT(C42*D42)</f>
        <v>1160</v>
      </c>
      <c r="F42" s="11"/>
      <c r="G42" s="11"/>
    </row>
    <row r="43" spans="1:7">
      <c r="A43" s="26">
        <v>45934</v>
      </c>
      <c r="B43" s="27" t="s">
        <v>267</v>
      </c>
      <c r="C43" s="27">
        <v>200</v>
      </c>
      <c r="D43" s="25" t="str">
        <f>IF(C43&gt;=200,"5.8",IF(C43&lt;200,"6"))</f>
        <v>5.8</v>
      </c>
      <c r="E43" s="25">
        <f>INT(C43*D43)</f>
        <v>1160</v>
      </c>
      <c r="F43" s="11"/>
      <c r="G43" s="11"/>
    </row>
    <row r="44" spans="4:5">
      <c r="D44" s="25"/>
      <c r="E44" s="25"/>
    </row>
    <row r="45" spans="1:5">
      <c r="A45" s="26">
        <v>45935</v>
      </c>
      <c r="B45" s="27" t="s">
        <v>265</v>
      </c>
      <c r="C45" s="27">
        <v>200</v>
      </c>
      <c r="D45" s="25" t="str">
        <f>IF(C45&gt;=200,"5.8",IF(C45&lt;200,"6"))</f>
        <v>5.8</v>
      </c>
      <c r="E45" s="25">
        <f>INT(C45*D45)</f>
        <v>1160</v>
      </c>
    </row>
    <row r="46" spans="1:5">
      <c r="A46" s="26">
        <v>45935</v>
      </c>
      <c r="B46" s="27" t="s">
        <v>266</v>
      </c>
      <c r="C46" s="27">
        <v>200</v>
      </c>
      <c r="D46" s="25" t="str">
        <f>IF(C46&gt;=200,"5.8",IF(C46&lt;200,"6"))</f>
        <v>5.8</v>
      </c>
      <c r="E46" s="25">
        <f>INT(C46*D46)</f>
        <v>1160</v>
      </c>
    </row>
    <row r="47" spans="1:5">
      <c r="A47" s="26">
        <v>45938</v>
      </c>
      <c r="B47" s="27" t="s">
        <v>263</v>
      </c>
      <c r="C47" s="27">
        <v>200</v>
      </c>
      <c r="D47" s="25" t="str">
        <f>IF(C47&gt;=200,"5.8",IF(C47&lt;200,"6"))</f>
        <v>5.8</v>
      </c>
      <c r="E47" s="25">
        <f>INT(C47*D47)</f>
        <v>1160</v>
      </c>
    </row>
    <row r="48" spans="1:5">
      <c r="A48" s="26">
        <v>45938</v>
      </c>
      <c r="B48" s="27" t="s">
        <v>264</v>
      </c>
      <c r="C48" s="27">
        <v>319.49</v>
      </c>
      <c r="D48" s="25" t="str">
        <f>IF(C48&gt;=200,"5.8",IF(C48&lt;200,"6"))</f>
        <v>5.8</v>
      </c>
      <c r="E48" s="25">
        <f>INT(C48*D48)</f>
        <v>1853</v>
      </c>
    </row>
    <row r="49" spans="4:5">
      <c r="D49" s="25"/>
      <c r="E49" s="25"/>
    </row>
    <row r="50" spans="1:5">
      <c r="A50" s="26">
        <v>45939</v>
      </c>
      <c r="B50" s="27" t="s">
        <v>268</v>
      </c>
      <c r="C50" s="27">
        <v>399.37</v>
      </c>
      <c r="D50" s="25" t="str">
        <f t="shared" ref="D49:D56" si="8">IF(C50&gt;=200,"5.8",IF(C50&lt;200,"6"))</f>
        <v>5.8</v>
      </c>
      <c r="E50" s="25">
        <f t="shared" ref="E49:E56" si="9">INT(C50*D50)</f>
        <v>2316</v>
      </c>
    </row>
    <row r="51" spans="1:5">
      <c r="A51" s="26">
        <v>45939</v>
      </c>
      <c r="B51" s="27" t="s">
        <v>269</v>
      </c>
      <c r="C51" s="27">
        <v>300</v>
      </c>
      <c r="D51" s="25" t="str">
        <f t="shared" si="8"/>
        <v>5.8</v>
      </c>
      <c r="E51" s="25">
        <f t="shared" si="9"/>
        <v>1740</v>
      </c>
    </row>
    <row r="52" spans="1:5">
      <c r="A52" s="26">
        <v>45939</v>
      </c>
      <c r="B52" s="27" t="s">
        <v>270</v>
      </c>
      <c r="C52" s="27">
        <v>300</v>
      </c>
      <c r="D52" s="25" t="str">
        <f t="shared" si="8"/>
        <v>5.8</v>
      </c>
      <c r="E52" s="25">
        <f t="shared" si="9"/>
        <v>1740</v>
      </c>
    </row>
    <row r="53" spans="1:5">
      <c r="A53" s="26">
        <v>45939</v>
      </c>
      <c r="B53" s="27" t="s">
        <v>271</v>
      </c>
      <c r="C53" s="27">
        <v>300</v>
      </c>
      <c r="D53" s="25" t="str">
        <f t="shared" si="8"/>
        <v>5.8</v>
      </c>
      <c r="E53" s="25">
        <f t="shared" si="9"/>
        <v>1740</v>
      </c>
    </row>
    <row r="54" spans="1:5">
      <c r="A54" s="26">
        <v>45939</v>
      </c>
      <c r="B54" s="27" t="s">
        <v>261</v>
      </c>
      <c r="C54" s="27">
        <v>536.04</v>
      </c>
      <c r="D54" s="25" t="str">
        <f t="shared" si="8"/>
        <v>5.8</v>
      </c>
      <c r="E54" s="25">
        <f t="shared" si="9"/>
        <v>3109</v>
      </c>
    </row>
    <row r="55" spans="1:5">
      <c r="A55" s="26">
        <v>45940</v>
      </c>
      <c r="B55" s="27" t="s">
        <v>266</v>
      </c>
      <c r="C55" s="27">
        <v>950</v>
      </c>
      <c r="D55" s="25" t="str">
        <f t="shared" si="8"/>
        <v>5.8</v>
      </c>
      <c r="E55" s="25">
        <f t="shared" si="9"/>
        <v>5510</v>
      </c>
    </row>
    <row r="56" spans="1:5">
      <c r="A56" s="26">
        <v>45940</v>
      </c>
      <c r="B56" s="27" t="s">
        <v>267</v>
      </c>
      <c r="C56" s="27">
        <v>470</v>
      </c>
      <c r="D56" s="25" t="str">
        <f t="shared" si="8"/>
        <v>5.8</v>
      </c>
      <c r="E56" s="25">
        <f t="shared" si="9"/>
        <v>2726</v>
      </c>
    </row>
    <row r="57" spans="4:5">
      <c r="D57" s="25"/>
      <c r="E57" s="25">
        <f t="shared" ref="E57:E65" si="10">INT(C57*D57)</f>
        <v>0</v>
      </c>
    </row>
    <row r="58" spans="1:5">
      <c r="A58" s="26">
        <v>45941</v>
      </c>
      <c r="B58" s="27" t="s">
        <v>261</v>
      </c>
      <c r="C58" s="27">
        <v>300</v>
      </c>
      <c r="D58" s="25" t="str">
        <f t="shared" ref="D58:D65" si="11">IF(C58&gt;=200,"5.8",IF(C58&lt;200,"6"))</f>
        <v>5.8</v>
      </c>
      <c r="E58" s="25">
        <f t="shared" si="10"/>
        <v>1740</v>
      </c>
    </row>
    <row r="59" spans="1:5">
      <c r="A59" s="26">
        <v>45941</v>
      </c>
      <c r="B59" s="27" t="s">
        <v>263</v>
      </c>
      <c r="C59" s="27">
        <v>200</v>
      </c>
      <c r="D59" s="25" t="str">
        <f t="shared" si="11"/>
        <v>5.8</v>
      </c>
      <c r="E59" s="25">
        <f t="shared" si="10"/>
        <v>1160</v>
      </c>
    </row>
    <row r="60" spans="1:5">
      <c r="A60" s="26">
        <v>45941</v>
      </c>
      <c r="B60" s="27" t="s">
        <v>264</v>
      </c>
      <c r="C60" s="27">
        <v>328.96</v>
      </c>
      <c r="D60" s="25" t="str">
        <f t="shared" si="11"/>
        <v>5.8</v>
      </c>
      <c r="E60" s="25">
        <f t="shared" si="10"/>
        <v>1907</v>
      </c>
    </row>
    <row r="61" spans="1:5">
      <c r="A61" s="26">
        <v>45941</v>
      </c>
      <c r="B61" s="27" t="s">
        <v>265</v>
      </c>
      <c r="C61" s="27">
        <v>200</v>
      </c>
      <c r="D61" s="25" t="str">
        <f t="shared" si="11"/>
        <v>5.8</v>
      </c>
      <c r="E61" s="25">
        <f t="shared" si="10"/>
        <v>1160</v>
      </c>
    </row>
    <row r="62" spans="1:5">
      <c r="A62" s="26">
        <v>45942</v>
      </c>
      <c r="B62" s="27" t="s">
        <v>271</v>
      </c>
      <c r="C62" s="27">
        <v>367.94</v>
      </c>
      <c r="D62" s="25" t="str">
        <f t="shared" si="11"/>
        <v>5.8</v>
      </c>
      <c r="E62" s="25">
        <f t="shared" si="10"/>
        <v>2134</v>
      </c>
    </row>
    <row r="63" spans="1:5">
      <c r="A63" s="26">
        <v>45943</v>
      </c>
      <c r="B63" s="27" t="s">
        <v>268</v>
      </c>
      <c r="C63" s="27">
        <v>300</v>
      </c>
      <c r="D63" s="25" t="str">
        <f t="shared" si="11"/>
        <v>5.8</v>
      </c>
      <c r="E63" s="25">
        <f t="shared" si="10"/>
        <v>1740</v>
      </c>
    </row>
    <row r="64" spans="1:5">
      <c r="A64" s="26">
        <v>45943</v>
      </c>
      <c r="B64" s="27" t="s">
        <v>269</v>
      </c>
      <c r="C64" s="27">
        <v>287.54</v>
      </c>
      <c r="D64" s="25" t="str">
        <f t="shared" si="11"/>
        <v>5.8</v>
      </c>
      <c r="E64" s="25">
        <f t="shared" si="10"/>
        <v>1667</v>
      </c>
    </row>
    <row r="65" spans="1:5">
      <c r="A65" s="26">
        <v>45943</v>
      </c>
      <c r="B65" s="27" t="s">
        <v>270</v>
      </c>
      <c r="C65" s="27">
        <v>200</v>
      </c>
      <c r="D65" s="25" t="str">
        <f t="shared" si="11"/>
        <v>5.8</v>
      </c>
      <c r="E65" s="25">
        <f t="shared" si="10"/>
        <v>1160</v>
      </c>
    </row>
  </sheetData>
  <mergeCells count="1">
    <mergeCell ref="B1:D1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H19" sqref="H19"/>
    </sheetView>
  </sheetViews>
  <sheetFormatPr defaultColWidth="9" defaultRowHeight="14.25" outlineLevelCol="6"/>
  <cols>
    <col min="1" max="1" width="11" customWidth="1"/>
    <col min="6" max="6" width="11"/>
  </cols>
  <sheetData>
    <row r="1" ht="20.25" spans="1:7">
      <c r="A1" s="1" t="s">
        <v>0</v>
      </c>
      <c r="B1" s="2" t="s">
        <v>272</v>
      </c>
      <c r="C1" s="3"/>
      <c r="D1" s="4"/>
      <c r="E1" s="5"/>
      <c r="F1" s="6"/>
      <c r="G1" s="6" t="s">
        <v>115</v>
      </c>
    </row>
    <row r="2" spans="1:7">
      <c r="A2" s="7" t="s">
        <v>273</v>
      </c>
      <c r="B2" s="7" t="s">
        <v>274</v>
      </c>
      <c r="C2" s="8"/>
      <c r="D2" s="9"/>
      <c r="E2" s="9"/>
      <c r="F2" s="10"/>
      <c r="G2" s="11"/>
    </row>
    <row r="3" spans="1:7">
      <c r="A3" s="12"/>
      <c r="B3" s="13"/>
      <c r="C3" s="13"/>
      <c r="D3" s="9"/>
      <c r="E3" s="9"/>
      <c r="F3" s="14"/>
      <c r="G3" s="14"/>
    </row>
    <row r="4" spans="1:7">
      <c r="A4" s="15"/>
      <c r="B4" s="9"/>
      <c r="C4" s="8"/>
      <c r="D4" s="9"/>
      <c r="E4" s="9"/>
      <c r="F4" s="14"/>
      <c r="G4" s="14"/>
    </row>
    <row r="5" spans="1:7">
      <c r="A5" s="15"/>
      <c r="B5" s="9"/>
      <c r="C5" s="8"/>
      <c r="D5" s="9"/>
      <c r="E5" s="9"/>
      <c r="F5" s="14"/>
      <c r="G5" s="14"/>
    </row>
    <row r="6" spans="1:7">
      <c r="A6" s="15"/>
      <c r="B6" s="9"/>
      <c r="C6" s="8"/>
      <c r="D6" s="9"/>
      <c r="E6" s="9"/>
      <c r="F6" s="14"/>
      <c r="G6" s="14"/>
    </row>
    <row r="7" spans="1:7">
      <c r="A7" s="15"/>
      <c r="B7" s="9"/>
      <c r="C7" s="8"/>
      <c r="D7" s="9"/>
      <c r="E7" s="9"/>
      <c r="F7" s="14"/>
      <c r="G7" s="14"/>
    </row>
    <row r="8" spans="1:7">
      <c r="A8" s="15"/>
      <c r="B8" s="9"/>
      <c r="C8" s="8"/>
      <c r="D8" s="9"/>
      <c r="E8" s="9"/>
      <c r="F8" s="14"/>
      <c r="G8" s="14"/>
    </row>
    <row r="9" spans="1:7">
      <c r="A9" s="15"/>
      <c r="B9" s="9"/>
      <c r="C9" s="8"/>
      <c r="D9" s="9"/>
      <c r="E9" s="9"/>
      <c r="F9" s="14"/>
      <c r="G9" s="14"/>
    </row>
    <row r="12" spans="1:3">
      <c r="A12" s="16">
        <v>45941</v>
      </c>
      <c r="B12" s="17" t="s">
        <v>273</v>
      </c>
      <c r="C12" s="17">
        <v>440</v>
      </c>
    </row>
    <row r="13" spans="1:3">
      <c r="A13" s="16">
        <v>45941</v>
      </c>
      <c r="B13" s="17" t="s">
        <v>274</v>
      </c>
      <c r="C13" s="17">
        <v>360</v>
      </c>
    </row>
    <row r="14" spans="1:3">
      <c r="A14" s="16">
        <v>45941</v>
      </c>
      <c r="B14" s="17" t="s">
        <v>274</v>
      </c>
      <c r="C14" s="17">
        <v>400</v>
      </c>
    </row>
    <row r="15" spans="1:3">
      <c r="A15" s="16">
        <v>45943</v>
      </c>
      <c r="B15" s="17" t="s">
        <v>273</v>
      </c>
      <c r="C15" s="17">
        <v>258.63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锐忠散</vt:lpstr>
      <vt:lpstr>普宁</vt:lpstr>
      <vt:lpstr>达运</vt:lpstr>
      <vt:lpstr>葫芦</vt:lpstr>
      <vt:lpstr>玉亮</vt:lpstr>
      <vt:lpstr>地都</vt:lpstr>
      <vt:lpstr>玉豪</vt:lpstr>
      <vt:lpstr>卢锐</vt:lpstr>
      <vt:lpstr>卢土散</vt:lpstr>
      <vt:lpstr>留土</vt:lpstr>
      <vt:lpstr>科民土</vt:lpstr>
      <vt:lpstr>吴土</vt:lpstr>
      <vt:lpstr>高土</vt:lpstr>
      <vt:lpstr>李土</vt:lpstr>
      <vt:lpstr>中运土</vt:lpstr>
      <vt:lpstr>万顺达</vt:lpstr>
      <vt:lpstr>多出的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林泽龙</dc:creator>
  <cp:lastModifiedBy>微型电机</cp:lastModifiedBy>
  <dcterms:created xsi:type="dcterms:W3CDTF">2015-06-05T18:19:00Z</dcterms:created>
  <dcterms:modified xsi:type="dcterms:W3CDTF">2025-10-14T02:38:55Z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C00C6EFE9D33473AA6AC0F988054233D_12</vt:lpwstr>
  </property>
  <property fmtid="{D5CDD505-2E9C-101B-9397-08002B2CF9AE}" pid="3" name="KSOProductBuildVer">
    <vt:lpwstr>2052-12.1.0.22529</vt:lpwstr>
  </property>
</Properties>
</file>