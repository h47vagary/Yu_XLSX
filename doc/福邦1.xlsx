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锐忠" sheetId="1" r:id="rId1"/>
    <sheet name="玉亮" sheetId="2" r:id="rId2"/>
    <sheet name="玉豪" sheetId="3" r:id="rId3"/>
    <sheet name="卢锐" sheetId="4" r:id="rId4"/>
    <sheet name="Sheet1" sheetId="5" r:id="rId5"/>
  </sheets>
  <definedNames>
    <definedName name="_xlnm.Criteria" localSheetId="3">卢锐!$J$1:$J$19</definedName>
    <definedName name="_xlnm.Criteria" localSheetId="0">锐忠!$K$1:$K$26</definedName>
    <definedName name="_xlnm.Criteria" localSheetId="2">玉豪!$J$1:$J$38</definedName>
    <definedName name="_xlnm.Criteria" localSheetId="1">玉亮!$L$1:$L$36</definedName>
    <definedName name="_xlnm.Extract" localSheetId="3">卢锐!#REF!</definedName>
    <definedName name="_xlnm.Extract" localSheetId="0">锐忠!#REF!</definedName>
    <definedName name="_xlnm.Extract" localSheetId="2">玉豪!#REF!</definedName>
    <definedName name="_xlnm.Extract" localSheetId="1">玉亮!#REF!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<sst xmlns="http://schemas.openxmlformats.org/spreadsheetml/2006/main" count="1044" uniqueCount="228">
  <si>
    <t>名称：</t>
  </si>
  <si>
    <t>锐忠散</t>
  </si>
  <si>
    <t>200上5.85,200下5.95</t>
  </si>
  <si>
    <t>车牌号码</t>
  </si>
  <si>
    <t>冀A84MA挂</t>
  </si>
  <si>
    <t>冀A95KP挂</t>
  </si>
  <si>
    <t>冀A91NL挂</t>
  </si>
  <si>
    <t>冀A98MJ挂</t>
  </si>
  <si>
    <t>粤VN2286</t>
  </si>
  <si>
    <t>粤VV4863</t>
  </si>
  <si>
    <t>赣C2P739</t>
  </si>
  <si>
    <t>粤VT3567</t>
  </si>
  <si>
    <t>粤VY5991</t>
  </si>
  <si>
    <t>粤VM9037</t>
  </si>
  <si>
    <t>粤VD8949</t>
  </si>
  <si>
    <t>粤VS3553</t>
  </si>
  <si>
    <t>粤BKA297</t>
  </si>
  <si>
    <t>粤D200AD</t>
  </si>
  <si>
    <t>鄂WE5382</t>
  </si>
  <si>
    <t>赣C1N400</t>
  </si>
  <si>
    <t>赣C3702W</t>
  </si>
  <si>
    <t>桂CE902M</t>
  </si>
  <si>
    <t>鲁A1T1R5</t>
  </si>
  <si>
    <t>渝A0226B</t>
  </si>
  <si>
    <t>新AC5576</t>
  </si>
  <si>
    <t>苏A583J1</t>
  </si>
  <si>
    <t>苏A1X801</t>
  </si>
  <si>
    <t>鲁AX76W3</t>
  </si>
  <si>
    <t>日期</t>
  </si>
  <si>
    <t>车牌号</t>
  </si>
  <si>
    <t>数量</t>
  </si>
  <si>
    <t>单价</t>
  </si>
  <si>
    <t>金额</t>
  </si>
  <si>
    <t>收款</t>
  </si>
  <si>
    <t>备注</t>
  </si>
  <si>
    <t xml:space="preserve">粤VV4863    </t>
  </si>
  <si>
    <t xml:space="preserve">粤VD8949    </t>
  </si>
  <si>
    <t xml:space="preserve">冀A91NL挂   </t>
  </si>
  <si>
    <t xml:space="preserve">粤VT3567    </t>
  </si>
  <si>
    <t xml:space="preserve">粤VY5991    </t>
  </si>
  <si>
    <t xml:space="preserve">冀A84MA挂   </t>
  </si>
  <si>
    <t xml:space="preserve">赣C2P739    </t>
  </si>
  <si>
    <t xml:space="preserve">冀A98MJ挂   </t>
  </si>
  <si>
    <t xml:space="preserve">冀A95KP挂   </t>
  </si>
  <si>
    <t xml:space="preserve">粤VN2286    </t>
  </si>
  <si>
    <t xml:space="preserve">粤VM9037    </t>
  </si>
  <si>
    <t xml:space="preserve">粤VS3553    </t>
  </si>
  <si>
    <t xml:space="preserve">粤D200AD    </t>
  </si>
  <si>
    <t xml:space="preserve">鲁AX76W3    </t>
  </si>
  <si>
    <t xml:space="preserve">鄂WE5382    </t>
  </si>
  <si>
    <t xml:space="preserve">苏A583J1    </t>
  </si>
  <si>
    <t xml:space="preserve">赣C1N400    </t>
  </si>
  <si>
    <t xml:space="preserve">赣C3702W    </t>
  </si>
  <si>
    <t xml:space="preserve">渝A0226B    </t>
  </si>
  <si>
    <t xml:space="preserve">粤BKA297    </t>
  </si>
  <si>
    <t xml:space="preserve">桂CE902M    </t>
  </si>
  <si>
    <t xml:space="preserve">鲁A1T1R5    </t>
  </si>
  <si>
    <t>玉亮</t>
  </si>
  <si>
    <t>冀A7369V</t>
  </si>
  <si>
    <t>冀A99298</t>
  </si>
  <si>
    <t>冀AQK90挂</t>
  </si>
  <si>
    <t>冀A71FB挂</t>
  </si>
  <si>
    <t>冀AAA183</t>
  </si>
  <si>
    <t>冀ASD62挂</t>
  </si>
  <si>
    <t>冀A70GA挂</t>
  </si>
  <si>
    <t>粤ABM032</t>
  </si>
  <si>
    <t>苏AS113挂</t>
  </si>
  <si>
    <t>冀A4C106</t>
  </si>
  <si>
    <t>冀ADU625</t>
  </si>
  <si>
    <t>豫A3612Z</t>
  </si>
  <si>
    <t>冀A384AZ</t>
  </si>
  <si>
    <t>冀AKW621</t>
  </si>
  <si>
    <t>豫BE1975</t>
  </si>
  <si>
    <t>粤VU3316</t>
  </si>
  <si>
    <t>粤V46207</t>
  </si>
  <si>
    <t>粤V33963</t>
  </si>
  <si>
    <t>粤MV9386</t>
  </si>
  <si>
    <t>粤MV7995</t>
  </si>
  <si>
    <t>赣CC6975</t>
  </si>
  <si>
    <t>桂E25968</t>
  </si>
  <si>
    <t>赣CC6800</t>
  </si>
  <si>
    <t>赣D73631</t>
  </si>
  <si>
    <t>粤R63362</t>
  </si>
  <si>
    <t>粤R73623</t>
  </si>
  <si>
    <t>云D713WQ</t>
  </si>
  <si>
    <t>赣C3M907</t>
  </si>
  <si>
    <t>赣CCQ041</t>
  </si>
  <si>
    <t>赣FB8671</t>
  </si>
  <si>
    <t>赣FF3352</t>
  </si>
  <si>
    <t>贵AE4T08</t>
  </si>
  <si>
    <t>赣C9M728</t>
  </si>
  <si>
    <t xml:space="preserve">冀A71FB挂   </t>
  </si>
  <si>
    <t xml:space="preserve">冀A70GA挂   </t>
  </si>
  <si>
    <t xml:space="preserve">冀A4C106    </t>
  </si>
  <si>
    <t xml:space="preserve">冀A384AZ    </t>
  </si>
  <si>
    <t xml:space="preserve">冀A99298    </t>
  </si>
  <si>
    <t xml:space="preserve">冀AAA183    </t>
  </si>
  <si>
    <t xml:space="preserve">贵AE4T08    </t>
  </si>
  <si>
    <t xml:space="preserve">粤ABM032    </t>
  </si>
  <si>
    <t xml:space="preserve">赣C9M728    </t>
  </si>
  <si>
    <t xml:space="preserve">冀AQK90挂   </t>
  </si>
  <si>
    <t xml:space="preserve">冀ASD62挂   </t>
  </si>
  <si>
    <t xml:space="preserve">苏AS113挂   </t>
  </si>
  <si>
    <t xml:space="preserve">冀ADU625    </t>
  </si>
  <si>
    <t xml:space="preserve">赣FF3352    </t>
  </si>
  <si>
    <t xml:space="preserve">桂E25968    </t>
  </si>
  <si>
    <t xml:space="preserve">冀AKW621    </t>
  </si>
  <si>
    <t xml:space="preserve">豫A3612Z    </t>
  </si>
  <si>
    <t xml:space="preserve">豫BE1975    </t>
  </si>
  <si>
    <t xml:space="preserve">粤V33963    </t>
  </si>
  <si>
    <t xml:space="preserve">粤V46207    </t>
  </si>
  <si>
    <t xml:space="preserve">粤VU3316    </t>
  </si>
  <si>
    <t xml:space="preserve">冀A7369V    </t>
  </si>
  <si>
    <t xml:space="preserve">粤R63362    </t>
  </si>
  <si>
    <t xml:space="preserve">赣FB8671    </t>
  </si>
  <si>
    <t xml:space="preserve">赣CCQ041    </t>
  </si>
  <si>
    <t xml:space="preserve">赣C3M907    </t>
  </si>
  <si>
    <t xml:space="preserve">赣D73631    </t>
  </si>
  <si>
    <t xml:space="preserve">赣CC6800    </t>
  </si>
  <si>
    <t xml:space="preserve">粤MV7995    </t>
  </si>
  <si>
    <t xml:space="preserve">粤MV9386    </t>
  </si>
  <si>
    <t xml:space="preserve">赣CC6975    </t>
  </si>
  <si>
    <t xml:space="preserve">云D713WQ    </t>
  </si>
  <si>
    <t xml:space="preserve">粤R73623    </t>
  </si>
  <si>
    <t>玉豪</t>
  </si>
  <si>
    <t>200上5.8,200下6</t>
  </si>
  <si>
    <t>粤F26870</t>
  </si>
  <si>
    <t>粤F52372</t>
  </si>
  <si>
    <t>粤VQ3746</t>
  </si>
  <si>
    <t>粤F61893</t>
  </si>
  <si>
    <t>粤R46045</t>
  </si>
  <si>
    <t>粤AFR982</t>
  </si>
  <si>
    <t>冀FFY92挂</t>
  </si>
  <si>
    <t>粤F08811</t>
  </si>
  <si>
    <t>粤AHY639</t>
  </si>
  <si>
    <t>豫N16B6V</t>
  </si>
  <si>
    <t>粤A3G2D6</t>
  </si>
  <si>
    <t>粤ADQ360</t>
  </si>
  <si>
    <t>豫FC8961</t>
  </si>
  <si>
    <t>粤AHG252</t>
  </si>
  <si>
    <t>粤AHH556</t>
  </si>
  <si>
    <t>冀ES3585</t>
  </si>
  <si>
    <t>冀E64FV挂</t>
  </si>
  <si>
    <t>冀EV9230</t>
  </si>
  <si>
    <t>赣K90906</t>
  </si>
  <si>
    <t>赣CDA853</t>
  </si>
  <si>
    <t>豫FB6036</t>
  </si>
  <si>
    <t>豫FA218挂</t>
  </si>
  <si>
    <t>豫FB5335</t>
  </si>
  <si>
    <t>冀A331A4</t>
  </si>
  <si>
    <t>冀A27HC挂</t>
  </si>
  <si>
    <t>冀A06V5挂</t>
  </si>
  <si>
    <t>冀A98YV挂</t>
  </si>
  <si>
    <t>豫AB33907</t>
  </si>
  <si>
    <t>渝DN2865</t>
  </si>
  <si>
    <t>冀J6N153</t>
  </si>
  <si>
    <t>冀HA5821</t>
  </si>
  <si>
    <t>冀FT0215</t>
  </si>
  <si>
    <t>赣C2287J</t>
  </si>
  <si>
    <t>赣C2117J</t>
  </si>
  <si>
    <t xml:space="preserve">豫FB6036    </t>
  </si>
  <si>
    <t xml:space="preserve">冀E64FV挂   </t>
  </si>
  <si>
    <t xml:space="preserve">粤F08811    </t>
  </si>
  <si>
    <t xml:space="preserve">冀A331A4    </t>
  </si>
  <si>
    <t xml:space="preserve">豫N16B6V    </t>
  </si>
  <si>
    <t xml:space="preserve">粤F52372    </t>
  </si>
  <si>
    <t xml:space="preserve">粤AHY639    </t>
  </si>
  <si>
    <t xml:space="preserve">冀FFY92挂   </t>
  </si>
  <si>
    <t xml:space="preserve">冀A27HC挂   </t>
  </si>
  <si>
    <t xml:space="preserve">冀A06V5挂   </t>
  </si>
  <si>
    <t>卢</t>
  </si>
  <si>
    <t xml:space="preserve">冀ES3585    </t>
  </si>
  <si>
    <t xml:space="preserve">粤ADQ360    </t>
  </si>
  <si>
    <t xml:space="preserve">粤F26870    </t>
  </si>
  <si>
    <t xml:space="preserve">粤AHG252    </t>
  </si>
  <si>
    <t xml:space="preserve">粤AFR982    </t>
  </si>
  <si>
    <t xml:space="preserve">赣K90906    </t>
  </si>
  <si>
    <t xml:space="preserve">赣CDA853    </t>
  </si>
  <si>
    <t xml:space="preserve">豫AB33907   </t>
  </si>
  <si>
    <t xml:space="preserve">渝DN2865    </t>
  </si>
  <si>
    <t xml:space="preserve">粤R46045    </t>
  </si>
  <si>
    <t xml:space="preserve">豫FB5335    </t>
  </si>
  <si>
    <t xml:space="preserve">冀J6N153    </t>
  </si>
  <si>
    <t xml:space="preserve">冀HA5821    </t>
  </si>
  <si>
    <t xml:space="preserve">冀FT0215    </t>
  </si>
  <si>
    <t xml:space="preserve">冀A98YV挂   </t>
  </si>
  <si>
    <t xml:space="preserve">冀EV9230    </t>
  </si>
  <si>
    <t xml:space="preserve">粤AHH556    </t>
  </si>
  <si>
    <t xml:space="preserve">豫FC8961    </t>
  </si>
  <si>
    <t xml:space="preserve">粤F61893    </t>
  </si>
  <si>
    <t xml:space="preserve">粤VQ3746    </t>
  </si>
  <si>
    <t xml:space="preserve">豫FA218挂   </t>
  </si>
  <si>
    <t>卢锐</t>
  </si>
  <si>
    <t>皖KP7715</t>
  </si>
  <si>
    <t>赣C3H653</t>
  </si>
  <si>
    <t>皖KW8201</t>
  </si>
  <si>
    <t>赣C7575X</t>
  </si>
  <si>
    <t>粤VR2409</t>
  </si>
  <si>
    <t>赣M86120</t>
  </si>
  <si>
    <t>贵A74VZ8</t>
  </si>
  <si>
    <t>闽B2K858</t>
  </si>
  <si>
    <t>皖KRM68挂</t>
  </si>
  <si>
    <t>皖KX2709</t>
  </si>
  <si>
    <t>皖KZ1233</t>
  </si>
  <si>
    <t>皖KZ3529</t>
  </si>
  <si>
    <t>皖SG4590</t>
  </si>
  <si>
    <t>湘AP9126</t>
  </si>
  <si>
    <t>湘DB2132</t>
  </si>
  <si>
    <t>赣C2565J</t>
  </si>
  <si>
    <t>赣CDD192</t>
  </si>
  <si>
    <t>赣C5D457</t>
  </si>
  <si>
    <t xml:space="preserve">赣M86120    </t>
  </si>
  <si>
    <t xml:space="preserve">粤VR2409    </t>
  </si>
  <si>
    <t>豪</t>
  </si>
  <si>
    <t xml:space="preserve">皖KW8201    </t>
  </si>
  <si>
    <t xml:space="preserve">湘AP9126    </t>
  </si>
  <si>
    <t xml:space="preserve">贵A74VZ8    </t>
  </si>
  <si>
    <t xml:space="preserve">皖KZ3529    </t>
  </si>
  <si>
    <t xml:space="preserve">皖KZ1233    </t>
  </si>
  <si>
    <t xml:space="preserve">闽B2K858    </t>
  </si>
  <si>
    <t xml:space="preserve">赣C7575X    </t>
  </si>
  <si>
    <t xml:space="preserve">皖SG4590    </t>
  </si>
  <si>
    <t xml:space="preserve">皖KX2709    </t>
  </si>
  <si>
    <t xml:space="preserve">湘DB2132    </t>
  </si>
  <si>
    <t xml:space="preserve">皖KRM68挂   </t>
  </si>
  <si>
    <t xml:space="preserve">赣C3H653    </t>
  </si>
  <si>
    <t xml:space="preserve">皖KP7715    </t>
  </si>
  <si>
    <t>消费时间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</si>
</sst>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9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sz val="11"/>
      <color indexed="8"/>
      <name val="等线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14" fontId="0" fillId="0" borderId="2" xfId="0" applyNumberFormat="1" applyBorder="1" applyProtection="1">
      <protection locked="0"/>
    </xf>
    <xf numFmtId="0" fontId="0" fillId="0" borderId="2" xfId="0" applyBorder="1" applyAlignment="1" applyProtection="1">
      <alignment vertical="center"/>
      <protection locked="0"/>
    </xf>
    <xf numFmtId="14" fontId="0" fillId="0" borderId="2" xfId="0" applyNumberFormat="1" applyBorder="1" applyAlignment="1" applyProtection="1">
      <alignment vertical="center"/>
      <protection locked="0"/>
    </xf>
    <xf numFmtId="176" fontId="0" fillId="0" borderId="2" xfId="0" applyNumberFormat="1" applyBorder="1" applyAlignment="1" applyProtection="1">
      <alignment vertical="center"/>
      <protection locked="0"/>
    </xf>
    <xf numFmtId="14" fontId="7" fillId="0" borderId="2" xfId="0" applyNumberFormat="1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176" fontId="7" fillId="0" borderId="2" xfId="0" applyNumberFormat="1" applyFont="1" applyBorder="1" applyAlignment="1" applyProtection="1">
      <alignment vertical="center"/>
      <protection locked="0"/>
    </xf>
    <xf numFmtId="14" fontId="8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176" fontId="8" fillId="0" borderId="2" xfId="0" applyNumberFormat="1" applyFont="1" applyBorder="1" applyAlignment="1" applyProtection="1">
      <alignment horizontal="center" vertical="center"/>
      <protection locked="0"/>
    </xf>
    <xf numFmtId="14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0" xfId="0" applyBorder="1"/>
    <xf numFmtId="0" fontId="9" fillId="0" borderId="6" xfId="0" applyFont="1" applyFill="1" applyBorder="1" applyAlignment="1">
      <alignment horizontal="right"/>
    </xf>
    <xf numFmtId="0" fontId="5" fillId="0" borderId="0" xfId="0" applyFont="1" applyAlignment="1" applyProtection="1">
      <alignment vertical="center"/>
      <protection locked="0"/>
    </xf>
    <xf numFmtId="14" fontId="6" fillId="0" borderId="2" xfId="0" applyNumberFormat="1" applyFont="1" applyBorder="1" applyAlignment="1" applyProtection="1">
      <alignment vertical="center"/>
      <protection locked="0"/>
    </xf>
    <xf numFmtId="176" fontId="6" fillId="0" borderId="2" xfId="0" applyNumberFormat="1" applyFont="1" applyBorder="1" applyAlignment="1" applyProtection="1">
      <alignment vertical="center"/>
      <protection locked="0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0" fillId="0" borderId="5" xfId="0" applyBorder="1" applyAlignment="1">
      <alignment horizontal="right"/>
    </xf>
    <xf numFmtId="0" fontId="9" fillId="0" borderId="6" xfId="0" applyFont="1" applyFill="1" applyBorder="1"/>
    <xf numFmtId="0" fontId="0" fillId="3" borderId="0" xfId="0" applyFill="1"/>
    <xf numFmtId="1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3" borderId="5" xfId="0" applyFill="1" applyBorder="1" applyAlignment="1">
      <alignment horizontal="right"/>
    </xf>
    <xf numFmtId="0" fontId="0" fillId="3" borderId="2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workbookViewId="0">
      <selection activeCell="I116" sqref="I116"/>
    </sheetView>
  </sheetViews>
  <sheetFormatPr defaultColWidth="9" defaultRowHeight="14.25"/>
  <cols>
    <col min="1" max="1" width="11.4" customWidth="1"/>
    <col min="2" max="2" width="13.1333333333333" customWidth="1"/>
    <col min="3" max="3" width="10.1333333333333" customWidth="1"/>
  </cols>
  <sheetData>
    <row r="1" ht="37.5" spans="1:11">
      <c r="A1" s="4" t="s">
        <v>0</v>
      </c>
      <c r="B1" s="5" t="s">
        <v>1</v>
      </c>
      <c r="C1" s="6"/>
      <c r="D1" s="7"/>
      <c r="E1" s="8"/>
      <c r="F1" s="9" t="s">
        <v>2</v>
      </c>
      <c r="G1" s="29"/>
      <c r="H1" s="10"/>
      <c r="I1" s="10"/>
      <c r="J1" s="10"/>
      <c r="K1" s="1" t="s">
        <v>3</v>
      </c>
    </row>
    <row r="2" spans="1:11">
      <c r="A2" s="12" t="s">
        <v>4</v>
      </c>
      <c r="B2" s="12" t="s">
        <v>5</v>
      </c>
      <c r="C2" s="12" t="s">
        <v>6</v>
      </c>
      <c r="D2" s="12" t="s">
        <v>7</v>
      </c>
      <c r="E2" s="12"/>
      <c r="F2" s="12"/>
      <c r="G2" s="12"/>
      <c r="H2" s="10"/>
      <c r="I2" s="10"/>
      <c r="J2" s="10"/>
      <c r="K2" s="10" t="str" cm="1">
        <f t="array" ref="K2:K26">_xlfn.TOCOL(A2:E6)</f>
        <v>冀A84MA挂</v>
      </c>
    </row>
    <row r="3" spans="1:11">
      <c r="A3" s="13" t="s">
        <v>8</v>
      </c>
      <c r="B3" s="12" t="s">
        <v>9</v>
      </c>
      <c r="C3" s="12" t="s">
        <v>10</v>
      </c>
      <c r="D3" s="14" t="s">
        <v>11</v>
      </c>
      <c r="E3" s="14" t="s">
        <v>12</v>
      </c>
      <c r="F3" s="14"/>
      <c r="G3" s="14"/>
      <c r="H3" s="10"/>
      <c r="I3" s="10"/>
      <c r="J3" s="10"/>
      <c r="K3" s="10" t="str">
        <v>冀A95KP挂</v>
      </c>
    </row>
    <row r="4" spans="1:11">
      <c r="A4" s="15" t="s">
        <v>13</v>
      </c>
      <c r="B4" s="14" t="s">
        <v>14</v>
      </c>
      <c r="C4" s="16" t="s">
        <v>15</v>
      </c>
      <c r="D4" s="14" t="s">
        <v>16</v>
      </c>
      <c r="E4" s="14" t="s">
        <v>17</v>
      </c>
      <c r="F4" s="14"/>
      <c r="G4" s="14"/>
      <c r="H4" s="10"/>
      <c r="I4" s="10"/>
      <c r="J4" s="10"/>
      <c r="K4" s="10" t="str">
        <v>冀A91NL挂</v>
      </c>
    </row>
    <row r="5" spans="1:11">
      <c r="A5" s="26" t="s">
        <v>18</v>
      </c>
      <c r="B5" s="26" t="s">
        <v>19</v>
      </c>
      <c r="C5" s="26" t="s">
        <v>20</v>
      </c>
      <c r="D5" s="26" t="s">
        <v>21</v>
      </c>
      <c r="E5" s="26" t="s">
        <v>22</v>
      </c>
      <c r="F5" s="14"/>
      <c r="G5" s="14"/>
      <c r="H5" s="10"/>
      <c r="I5" s="10"/>
      <c r="J5" s="10"/>
      <c r="K5" s="10" t="str">
        <v>冀A98MJ挂</v>
      </c>
    </row>
    <row r="6" spans="1:11">
      <c r="A6" s="26" t="s">
        <v>23</v>
      </c>
      <c r="B6" s="26" t="s">
        <v>24</v>
      </c>
      <c r="C6" s="26" t="s">
        <v>25</v>
      </c>
      <c r="D6" s="26" t="s">
        <v>26</v>
      </c>
      <c r="E6" s="26" t="s">
        <v>27</v>
      </c>
      <c r="F6" s="14"/>
      <c r="G6" s="14"/>
      <c r="H6" s="10"/>
      <c r="I6" s="10"/>
      <c r="J6" s="10"/>
      <c r="K6" s="10">
        <v>0</v>
      </c>
    </row>
    <row r="7" spans="1:11">
      <c r="A7" s="15"/>
      <c r="B7" s="14"/>
      <c r="C7" s="16"/>
      <c r="D7" s="14"/>
      <c r="E7" s="14"/>
      <c r="F7" s="14"/>
      <c r="G7" s="14"/>
      <c r="H7" s="10"/>
      <c r="I7" s="10"/>
      <c r="J7" s="10"/>
      <c r="K7" s="10" t="str">
        <v>粤VN2286</v>
      </c>
    </row>
    <row r="8" spans="1:11">
      <c r="A8" s="15"/>
      <c r="B8" s="14"/>
      <c r="C8" s="16"/>
      <c r="D8" s="14"/>
      <c r="E8" s="14"/>
      <c r="F8" s="14"/>
      <c r="G8" s="14"/>
      <c r="H8" s="10"/>
      <c r="I8" s="10"/>
      <c r="J8" s="10"/>
      <c r="K8" s="10" t="str">
        <v>粤VV4863</v>
      </c>
    </row>
    <row r="9" spans="1:11">
      <c r="A9" s="15"/>
      <c r="B9" s="14"/>
      <c r="C9" s="16"/>
      <c r="D9" s="14"/>
      <c r="E9" s="14"/>
      <c r="F9" s="14"/>
      <c r="G9" s="14"/>
      <c r="H9" s="10"/>
      <c r="I9" s="10"/>
      <c r="J9" s="10"/>
      <c r="K9" s="10" t="str">
        <v>赣C2P739</v>
      </c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 t="str">
        <v>粤VT3567</v>
      </c>
    </row>
    <row r="11" spans="1:11">
      <c r="A11" s="20" t="s">
        <v>28</v>
      </c>
      <c r="B11" s="21" t="s">
        <v>29</v>
      </c>
      <c r="C11" s="22" t="s">
        <v>30</v>
      </c>
      <c r="D11" s="21" t="s">
        <v>31</v>
      </c>
      <c r="E11" s="21" t="s">
        <v>32</v>
      </c>
      <c r="F11" s="21" t="s">
        <v>33</v>
      </c>
      <c r="G11" s="21" t="s">
        <v>34</v>
      </c>
      <c r="H11" s="10"/>
      <c r="I11" s="10"/>
      <c r="J11" s="10"/>
      <c r="K11" s="10" t="str">
        <v>粤VY5991</v>
      </c>
    </row>
    <row r="12" spans="1:11">
      <c r="A12" s="32">
        <v>45923</v>
      </c>
      <c r="B12" s="33" t="s">
        <v>35</v>
      </c>
      <c r="C12" s="33">
        <v>335.01</v>
      </c>
      <c r="D12" s="35" t="str">
        <f t="shared" ref="D12:D70" si="0">IF(C12&gt;=200,"5.75",IF(C12&lt;200,"5.95"))</f>
        <v>5.75</v>
      </c>
      <c r="E12" s="26">
        <f t="shared" ref="E12:E70" si="1">INT(C12*D12)</f>
        <v>1926</v>
      </c>
      <c r="F12" s="26"/>
      <c r="G12" s="26"/>
      <c r="K12" s="10" t="str">
        <v>粤VM9037</v>
      </c>
    </row>
    <row r="13" spans="1:11">
      <c r="A13" s="32">
        <v>45923</v>
      </c>
      <c r="B13" s="33" t="s">
        <v>36</v>
      </c>
      <c r="C13" s="33">
        <v>470.01</v>
      </c>
      <c r="D13" s="35" t="str">
        <f t="shared" si="0"/>
        <v>5.75</v>
      </c>
      <c r="E13" s="26">
        <f t="shared" si="1"/>
        <v>2702</v>
      </c>
      <c r="F13" s="26"/>
      <c r="G13" s="26"/>
      <c r="K13" t="str">
        <v>粤VD8949</v>
      </c>
    </row>
    <row r="14" spans="1:11">
      <c r="A14" s="32">
        <v>45923</v>
      </c>
      <c r="B14" s="33" t="s">
        <v>37</v>
      </c>
      <c r="C14" s="33">
        <v>808</v>
      </c>
      <c r="D14" s="35" t="str">
        <f t="shared" si="0"/>
        <v>5.75</v>
      </c>
      <c r="E14" s="26">
        <f t="shared" si="1"/>
        <v>4646</v>
      </c>
      <c r="F14" s="26"/>
      <c r="G14" s="26"/>
      <c r="K14" t="str">
        <v>粤VS3553</v>
      </c>
    </row>
    <row r="15" spans="1:11">
      <c r="A15" s="32">
        <v>45923</v>
      </c>
      <c r="B15" s="33" t="s">
        <v>38</v>
      </c>
      <c r="C15" s="33">
        <v>300</v>
      </c>
      <c r="D15" s="35" t="str">
        <f t="shared" si="0"/>
        <v>5.75</v>
      </c>
      <c r="E15" s="26">
        <f t="shared" si="1"/>
        <v>1725</v>
      </c>
      <c r="F15" s="26"/>
      <c r="G15" s="26"/>
      <c r="K15" t="str">
        <v>粤BKA297</v>
      </c>
    </row>
    <row r="16" spans="1:11">
      <c r="A16" s="32">
        <v>45923</v>
      </c>
      <c r="B16" s="33" t="s">
        <v>39</v>
      </c>
      <c r="C16" s="33">
        <v>491.99</v>
      </c>
      <c r="D16" s="35" t="str">
        <f t="shared" si="0"/>
        <v>5.75</v>
      </c>
      <c r="E16" s="26">
        <f t="shared" si="1"/>
        <v>2828</v>
      </c>
      <c r="F16" s="26"/>
      <c r="G16" s="26"/>
      <c r="K16" t="str">
        <v>粤D200AD</v>
      </c>
    </row>
    <row r="17" spans="1:11">
      <c r="A17" s="32">
        <v>45923</v>
      </c>
      <c r="B17" s="33" t="s">
        <v>40</v>
      </c>
      <c r="C17" s="33">
        <v>200</v>
      </c>
      <c r="D17" s="35" t="str">
        <f t="shared" si="0"/>
        <v>5.75</v>
      </c>
      <c r="E17" s="26">
        <f t="shared" si="1"/>
        <v>1150</v>
      </c>
      <c r="F17" s="26"/>
      <c r="G17" s="26"/>
      <c r="K17" t="str">
        <v>鄂WE5382</v>
      </c>
    </row>
    <row r="18" spans="1:11">
      <c r="A18" s="32">
        <v>45923</v>
      </c>
      <c r="B18" s="33" t="s">
        <v>41</v>
      </c>
      <c r="C18" s="33">
        <v>400</v>
      </c>
      <c r="D18" s="35" t="str">
        <f t="shared" si="0"/>
        <v>5.75</v>
      </c>
      <c r="E18" s="26">
        <f t="shared" si="1"/>
        <v>2300</v>
      </c>
      <c r="F18" s="26"/>
      <c r="G18" s="26"/>
      <c r="K18" t="str">
        <v>赣C1N400</v>
      </c>
    </row>
    <row r="19" spans="1:11">
      <c r="A19" s="32">
        <v>45923</v>
      </c>
      <c r="B19" s="33" t="s">
        <v>42</v>
      </c>
      <c r="C19" s="33">
        <v>943</v>
      </c>
      <c r="D19" s="35" t="str">
        <f t="shared" si="0"/>
        <v>5.75</v>
      </c>
      <c r="E19" s="26">
        <f t="shared" si="1"/>
        <v>5422</v>
      </c>
      <c r="F19" s="26"/>
      <c r="G19" s="26"/>
      <c r="K19" t="str">
        <v>赣C3702W</v>
      </c>
    </row>
    <row r="20" spans="1:11">
      <c r="A20" s="32">
        <v>45923</v>
      </c>
      <c r="B20" s="33" t="s">
        <v>43</v>
      </c>
      <c r="C20" s="33">
        <v>837</v>
      </c>
      <c r="D20" s="35" t="str">
        <f t="shared" si="0"/>
        <v>5.75</v>
      </c>
      <c r="E20" s="26">
        <f t="shared" si="1"/>
        <v>4812</v>
      </c>
      <c r="F20" s="26"/>
      <c r="G20" s="26"/>
      <c r="K20" t="str">
        <v>桂CE902M</v>
      </c>
    </row>
    <row r="21" spans="1:11">
      <c r="A21" s="32">
        <v>45923</v>
      </c>
      <c r="B21" s="33" t="s">
        <v>44</v>
      </c>
      <c r="C21" s="33">
        <v>477.8</v>
      </c>
      <c r="D21" s="35" t="str">
        <f t="shared" si="0"/>
        <v>5.75</v>
      </c>
      <c r="E21" s="26">
        <f t="shared" si="1"/>
        <v>2747</v>
      </c>
      <c r="F21" s="26"/>
      <c r="G21" s="26"/>
      <c r="K21" t="str">
        <v>鲁A1T1R5</v>
      </c>
    </row>
    <row r="22" spans="1:11">
      <c r="A22" s="32">
        <v>45923</v>
      </c>
      <c r="B22" s="33" t="s">
        <v>45</v>
      </c>
      <c r="C22" s="33">
        <v>510</v>
      </c>
      <c r="D22" s="35" t="str">
        <f t="shared" si="0"/>
        <v>5.75</v>
      </c>
      <c r="E22" s="26">
        <f t="shared" si="1"/>
        <v>2932</v>
      </c>
      <c r="F22" s="26"/>
      <c r="G22" s="26"/>
      <c r="K22" t="str">
        <v>渝A0226B</v>
      </c>
    </row>
    <row r="23" spans="1:11">
      <c r="A23" s="32">
        <v>45923</v>
      </c>
      <c r="B23" s="33" t="s">
        <v>46</v>
      </c>
      <c r="C23" s="33">
        <v>207.03</v>
      </c>
      <c r="D23" s="35" t="str">
        <f t="shared" si="0"/>
        <v>5.75</v>
      </c>
      <c r="E23" s="26">
        <f t="shared" si="1"/>
        <v>1190</v>
      </c>
      <c r="F23" s="26"/>
      <c r="G23" s="26"/>
      <c r="K23" t="str">
        <v>新AC5576</v>
      </c>
    </row>
    <row r="24" spans="1:11">
      <c r="A24" s="32">
        <v>45923</v>
      </c>
      <c r="B24" s="33" t="s">
        <v>37</v>
      </c>
      <c r="C24" s="33">
        <v>345</v>
      </c>
      <c r="D24" s="35" t="str">
        <f t="shared" si="0"/>
        <v>5.75</v>
      </c>
      <c r="E24" s="26">
        <f t="shared" si="1"/>
        <v>1983</v>
      </c>
      <c r="F24" s="26"/>
      <c r="G24" s="26"/>
      <c r="K24" t="str">
        <v>苏A583J1</v>
      </c>
    </row>
    <row r="25" spans="1:11">
      <c r="A25" s="32">
        <v>45923</v>
      </c>
      <c r="B25" s="33" t="s">
        <v>40</v>
      </c>
      <c r="C25" s="33">
        <v>815</v>
      </c>
      <c r="D25" s="35" t="str">
        <f t="shared" si="0"/>
        <v>5.75</v>
      </c>
      <c r="E25" s="26">
        <f t="shared" si="1"/>
        <v>4686</v>
      </c>
      <c r="F25" s="26"/>
      <c r="G25" s="26"/>
      <c r="K25" t="str">
        <v>苏A1X801</v>
      </c>
    </row>
    <row r="26" spans="1:11">
      <c r="A26" s="32">
        <v>45924</v>
      </c>
      <c r="B26" s="33" t="s">
        <v>47</v>
      </c>
      <c r="C26" s="33">
        <v>753</v>
      </c>
      <c r="D26" s="35">
        <v>5.7</v>
      </c>
      <c r="E26" s="26">
        <f t="shared" si="1"/>
        <v>4292</v>
      </c>
      <c r="G26" s="26"/>
      <c r="K26" t="str">
        <v>鲁AX76W3</v>
      </c>
    </row>
    <row r="27" spans="1:7">
      <c r="A27" s="32">
        <v>45924</v>
      </c>
      <c r="B27" s="33" t="s">
        <v>43</v>
      </c>
      <c r="C27" s="33">
        <v>140</v>
      </c>
      <c r="D27" s="35">
        <v>5.75</v>
      </c>
      <c r="E27" s="26">
        <f t="shared" si="1"/>
        <v>805</v>
      </c>
      <c r="F27" s="26"/>
      <c r="G27" s="26"/>
    </row>
    <row r="28" spans="1:7">
      <c r="A28" s="32">
        <v>45924</v>
      </c>
      <c r="B28" s="33" t="s">
        <v>36</v>
      </c>
      <c r="C28" s="33">
        <v>200</v>
      </c>
      <c r="D28" s="35" t="str">
        <f t="shared" si="0"/>
        <v>5.75</v>
      </c>
      <c r="E28" s="26">
        <f t="shared" si="1"/>
        <v>1150</v>
      </c>
      <c r="F28" s="26"/>
      <c r="G28" s="26"/>
    </row>
    <row r="29" spans="1:7">
      <c r="A29" s="32">
        <v>45924</v>
      </c>
      <c r="B29" s="33" t="s">
        <v>38</v>
      </c>
      <c r="C29" s="33">
        <v>307.37</v>
      </c>
      <c r="D29" s="35" t="str">
        <f t="shared" si="0"/>
        <v>5.75</v>
      </c>
      <c r="E29" s="26">
        <f t="shared" si="1"/>
        <v>1767</v>
      </c>
      <c r="F29" s="26"/>
      <c r="G29" s="26"/>
    </row>
    <row r="30" spans="1:7">
      <c r="A30" s="32">
        <v>45924</v>
      </c>
      <c r="B30" s="33" t="s">
        <v>48</v>
      </c>
      <c r="C30" s="33">
        <v>500</v>
      </c>
      <c r="D30" s="35" t="str">
        <f t="shared" si="0"/>
        <v>5.75</v>
      </c>
      <c r="E30" s="26">
        <f t="shared" si="1"/>
        <v>2875</v>
      </c>
      <c r="F30" s="26"/>
      <c r="G30" s="26"/>
    </row>
    <row r="31" spans="1:7">
      <c r="A31" s="32">
        <v>45924</v>
      </c>
      <c r="B31" s="33" t="s">
        <v>49</v>
      </c>
      <c r="C31" s="33">
        <v>500</v>
      </c>
      <c r="D31" s="35" t="str">
        <f t="shared" si="0"/>
        <v>5.75</v>
      </c>
      <c r="E31" s="26">
        <f t="shared" si="1"/>
        <v>2875</v>
      </c>
      <c r="F31" s="26"/>
      <c r="G31" s="26"/>
    </row>
    <row r="32" spans="1:7">
      <c r="A32" s="32">
        <v>45924</v>
      </c>
      <c r="B32" s="33" t="s">
        <v>50</v>
      </c>
      <c r="C32" s="33">
        <v>347.6</v>
      </c>
      <c r="D32" s="35" t="str">
        <f t="shared" si="0"/>
        <v>5.75</v>
      </c>
      <c r="E32" s="26">
        <f t="shared" si="1"/>
        <v>1998</v>
      </c>
      <c r="F32" s="26"/>
      <c r="G32" s="26"/>
    </row>
    <row r="33" spans="1:7">
      <c r="A33" s="32">
        <v>45924</v>
      </c>
      <c r="B33" s="33" t="s">
        <v>51</v>
      </c>
      <c r="C33" s="33">
        <v>80</v>
      </c>
      <c r="D33" s="35">
        <v>5.75</v>
      </c>
      <c r="E33" s="26">
        <f t="shared" si="1"/>
        <v>460</v>
      </c>
      <c r="F33" s="26"/>
      <c r="G33" s="26"/>
    </row>
    <row r="34" spans="1:7">
      <c r="A34" s="32">
        <v>45924</v>
      </c>
      <c r="B34" s="33" t="s">
        <v>40</v>
      </c>
      <c r="C34" s="33">
        <v>680.01</v>
      </c>
      <c r="D34" s="35" t="str">
        <f t="shared" si="0"/>
        <v>5.75</v>
      </c>
      <c r="E34" s="26">
        <f t="shared" si="1"/>
        <v>3910</v>
      </c>
      <c r="F34" s="26"/>
      <c r="G34" s="26"/>
    </row>
    <row r="35" spans="1:7">
      <c r="A35" s="32">
        <v>45924</v>
      </c>
      <c r="B35" s="33" t="s">
        <v>52</v>
      </c>
      <c r="C35" s="33">
        <v>350</v>
      </c>
      <c r="D35" s="35" t="str">
        <f t="shared" si="0"/>
        <v>5.75</v>
      </c>
      <c r="E35" s="26">
        <f t="shared" si="1"/>
        <v>2012</v>
      </c>
      <c r="F35" s="26"/>
      <c r="G35" s="26"/>
    </row>
    <row r="36" spans="1:7">
      <c r="A36" s="32">
        <v>45924</v>
      </c>
      <c r="B36" s="33" t="s">
        <v>37</v>
      </c>
      <c r="C36" s="33">
        <v>855</v>
      </c>
      <c r="D36" s="35" t="str">
        <f t="shared" si="0"/>
        <v>5.75</v>
      </c>
      <c r="E36" s="26">
        <f t="shared" si="1"/>
        <v>4916</v>
      </c>
      <c r="F36" s="26"/>
      <c r="G36" s="26"/>
    </row>
    <row r="37" spans="1:7">
      <c r="A37" s="32">
        <v>45924</v>
      </c>
      <c r="B37" s="33" t="s">
        <v>46</v>
      </c>
      <c r="C37" s="33">
        <v>200</v>
      </c>
      <c r="D37" s="35" t="str">
        <f t="shared" si="0"/>
        <v>5.75</v>
      </c>
      <c r="E37" s="26">
        <f t="shared" si="1"/>
        <v>1150</v>
      </c>
      <c r="F37" s="26"/>
      <c r="G37" s="26"/>
    </row>
    <row r="38" spans="1:7">
      <c r="A38" s="32">
        <v>45924</v>
      </c>
      <c r="B38" s="33" t="s">
        <v>39</v>
      </c>
      <c r="C38" s="33">
        <v>303</v>
      </c>
      <c r="D38" s="35" t="str">
        <f t="shared" si="0"/>
        <v>5.75</v>
      </c>
      <c r="E38" s="26">
        <f t="shared" si="1"/>
        <v>1742</v>
      </c>
      <c r="F38" s="26"/>
      <c r="G38" s="26"/>
    </row>
    <row r="39" spans="1:7">
      <c r="A39" s="32">
        <v>45924</v>
      </c>
      <c r="B39" s="33" t="s">
        <v>42</v>
      </c>
      <c r="C39" s="33">
        <v>289.99</v>
      </c>
      <c r="D39" s="35" t="str">
        <f t="shared" si="0"/>
        <v>5.75</v>
      </c>
      <c r="E39" s="26">
        <f t="shared" si="1"/>
        <v>1667</v>
      </c>
      <c r="F39" s="26"/>
      <c r="G39" s="26"/>
    </row>
    <row r="40" spans="1:7">
      <c r="A40" s="32">
        <v>45924</v>
      </c>
      <c r="B40" s="33" t="s">
        <v>43</v>
      </c>
      <c r="C40" s="33">
        <v>820</v>
      </c>
      <c r="D40" s="35" t="str">
        <f t="shared" si="0"/>
        <v>5.75</v>
      </c>
      <c r="E40" s="26">
        <f t="shared" si="1"/>
        <v>4715</v>
      </c>
      <c r="F40" s="26"/>
      <c r="G40" s="26"/>
    </row>
    <row r="41" spans="1:7">
      <c r="A41" s="32">
        <v>45924</v>
      </c>
      <c r="B41" s="33" t="s">
        <v>41</v>
      </c>
      <c r="C41" s="33">
        <v>404</v>
      </c>
      <c r="D41" s="35" t="str">
        <f t="shared" si="0"/>
        <v>5.75</v>
      </c>
      <c r="E41" s="26">
        <f t="shared" si="1"/>
        <v>2323</v>
      </c>
      <c r="F41" s="26"/>
      <c r="G41" s="26"/>
    </row>
    <row r="42" spans="1:7">
      <c r="A42" s="32">
        <v>45924</v>
      </c>
      <c r="B42" s="33" t="s">
        <v>44</v>
      </c>
      <c r="C42" s="33">
        <v>537.02</v>
      </c>
      <c r="D42" s="35" t="str">
        <f t="shared" si="0"/>
        <v>5.75</v>
      </c>
      <c r="E42" s="26">
        <f t="shared" si="1"/>
        <v>3087</v>
      </c>
      <c r="F42" s="26"/>
      <c r="G42" s="26"/>
    </row>
    <row r="43" spans="1:7">
      <c r="A43" s="32">
        <v>45924</v>
      </c>
      <c r="B43" s="33" t="s">
        <v>45</v>
      </c>
      <c r="C43" s="33">
        <v>1103.93</v>
      </c>
      <c r="D43" s="35" t="str">
        <f t="shared" si="0"/>
        <v>5.75</v>
      </c>
      <c r="E43" s="26">
        <f t="shared" si="1"/>
        <v>6347</v>
      </c>
      <c r="F43" s="26"/>
      <c r="G43" s="26"/>
    </row>
    <row r="44" spans="1:7">
      <c r="A44" s="32">
        <v>45925</v>
      </c>
      <c r="B44" s="33" t="s">
        <v>43</v>
      </c>
      <c r="C44" s="33">
        <v>810</v>
      </c>
      <c r="D44" s="35" t="str">
        <f t="shared" si="0"/>
        <v>5.75</v>
      </c>
      <c r="E44" s="26">
        <f t="shared" si="1"/>
        <v>4657</v>
      </c>
      <c r="F44" s="26"/>
      <c r="G44" s="26"/>
    </row>
    <row r="45" spans="1:7">
      <c r="A45" s="32">
        <v>45925</v>
      </c>
      <c r="B45" s="33" t="s">
        <v>38</v>
      </c>
      <c r="C45" s="33">
        <v>375</v>
      </c>
      <c r="D45" s="35" t="str">
        <f t="shared" si="0"/>
        <v>5.75</v>
      </c>
      <c r="E45" s="26">
        <f t="shared" si="1"/>
        <v>2156</v>
      </c>
      <c r="F45" s="26"/>
      <c r="G45" s="26"/>
    </row>
    <row r="46" spans="1:7">
      <c r="A46" s="32">
        <v>45925</v>
      </c>
      <c r="B46" s="33" t="s">
        <v>42</v>
      </c>
      <c r="C46" s="33">
        <v>276.96</v>
      </c>
      <c r="D46" s="35" t="str">
        <f t="shared" si="0"/>
        <v>5.75</v>
      </c>
      <c r="E46" s="26">
        <f t="shared" si="1"/>
        <v>1592</v>
      </c>
      <c r="F46" s="26"/>
      <c r="G46" s="26"/>
    </row>
    <row r="47" spans="1:7">
      <c r="A47" s="32">
        <v>45925</v>
      </c>
      <c r="B47" s="33" t="s">
        <v>37</v>
      </c>
      <c r="C47" s="33">
        <v>400</v>
      </c>
      <c r="D47" s="35" t="str">
        <f t="shared" si="0"/>
        <v>5.75</v>
      </c>
      <c r="E47" s="26">
        <f t="shared" si="1"/>
        <v>2300</v>
      </c>
      <c r="F47" s="26"/>
      <c r="G47" s="26"/>
    </row>
    <row r="48" spans="1:7">
      <c r="A48" s="32">
        <v>45925</v>
      </c>
      <c r="B48" s="33" t="s">
        <v>40</v>
      </c>
      <c r="C48" s="33">
        <v>246</v>
      </c>
      <c r="D48" s="35" t="str">
        <f t="shared" si="0"/>
        <v>5.75</v>
      </c>
      <c r="E48" s="26">
        <f t="shared" si="1"/>
        <v>1414</v>
      </c>
      <c r="F48" s="26"/>
      <c r="G48" s="26"/>
    </row>
    <row r="49" spans="1:7">
      <c r="A49" s="32">
        <v>45925</v>
      </c>
      <c r="B49" s="33" t="s">
        <v>49</v>
      </c>
      <c r="C49" s="33">
        <v>255</v>
      </c>
      <c r="D49" s="35" t="str">
        <f t="shared" si="0"/>
        <v>5.75</v>
      </c>
      <c r="E49" s="26">
        <f t="shared" si="1"/>
        <v>1466</v>
      </c>
      <c r="F49" s="26"/>
      <c r="G49" s="26"/>
    </row>
    <row r="50" spans="1:7">
      <c r="A50" s="32">
        <v>45925</v>
      </c>
      <c r="B50" s="33" t="s">
        <v>51</v>
      </c>
      <c r="C50" s="33">
        <v>841.17</v>
      </c>
      <c r="D50" s="35" t="str">
        <f t="shared" si="0"/>
        <v>5.75</v>
      </c>
      <c r="E50" s="26">
        <f t="shared" si="1"/>
        <v>4836</v>
      </c>
      <c r="F50" s="26"/>
      <c r="G50" s="26"/>
    </row>
    <row r="51" spans="1:7">
      <c r="A51" s="32">
        <v>45925</v>
      </c>
      <c r="B51" s="33" t="s">
        <v>47</v>
      </c>
      <c r="C51" s="33">
        <v>200</v>
      </c>
      <c r="D51" s="35" t="str">
        <f t="shared" si="0"/>
        <v>5.75</v>
      </c>
      <c r="E51" s="26">
        <f t="shared" si="1"/>
        <v>1150</v>
      </c>
      <c r="F51" s="26"/>
      <c r="G51" s="26"/>
    </row>
    <row r="52" spans="1:7">
      <c r="A52" s="32">
        <v>45925</v>
      </c>
      <c r="B52" s="33" t="s">
        <v>52</v>
      </c>
      <c r="C52" s="33">
        <v>430.03</v>
      </c>
      <c r="D52" s="35" t="str">
        <f t="shared" si="0"/>
        <v>5.75</v>
      </c>
      <c r="E52" s="26">
        <f t="shared" si="1"/>
        <v>2472</v>
      </c>
      <c r="F52" s="26"/>
      <c r="G52" s="26"/>
    </row>
    <row r="53" spans="1:7">
      <c r="A53" s="32">
        <v>45925</v>
      </c>
      <c r="B53" s="33" t="s">
        <v>50</v>
      </c>
      <c r="C53" s="33">
        <v>821</v>
      </c>
      <c r="D53" s="35" t="str">
        <f t="shared" si="0"/>
        <v>5.75</v>
      </c>
      <c r="E53" s="26">
        <f t="shared" si="1"/>
        <v>4720</v>
      </c>
      <c r="F53" s="26"/>
      <c r="G53" s="26"/>
    </row>
    <row r="54" spans="1:7">
      <c r="A54" s="32">
        <v>45925</v>
      </c>
      <c r="B54" s="33" t="s">
        <v>39</v>
      </c>
      <c r="C54" s="33">
        <v>200</v>
      </c>
      <c r="D54" s="35" t="str">
        <f t="shared" si="0"/>
        <v>5.75</v>
      </c>
      <c r="E54" s="26">
        <f t="shared" si="1"/>
        <v>1150</v>
      </c>
      <c r="F54" s="26"/>
      <c r="G54" s="26"/>
    </row>
    <row r="55" spans="1:7">
      <c r="A55" s="32">
        <v>45925</v>
      </c>
      <c r="B55" s="33" t="s">
        <v>41</v>
      </c>
      <c r="C55" s="33">
        <v>354.04</v>
      </c>
      <c r="D55" s="35" t="str">
        <f t="shared" si="0"/>
        <v>5.75</v>
      </c>
      <c r="E55" s="26">
        <f t="shared" si="1"/>
        <v>2035</v>
      </c>
      <c r="F55" s="26"/>
      <c r="G55" s="26"/>
    </row>
    <row r="56" spans="1:7">
      <c r="A56" s="32">
        <v>45925</v>
      </c>
      <c r="B56" s="33" t="s">
        <v>44</v>
      </c>
      <c r="C56" s="33">
        <v>200.02</v>
      </c>
      <c r="D56" s="35" t="str">
        <f t="shared" si="0"/>
        <v>5.75</v>
      </c>
      <c r="E56" s="26">
        <f t="shared" si="1"/>
        <v>1150</v>
      </c>
      <c r="F56" s="26"/>
      <c r="G56" s="26"/>
    </row>
    <row r="57" spans="1:7">
      <c r="A57" s="32">
        <v>45925</v>
      </c>
      <c r="B57" s="33" t="s">
        <v>35</v>
      </c>
      <c r="C57" s="33">
        <v>334.96</v>
      </c>
      <c r="D57" s="35" t="str">
        <f t="shared" si="0"/>
        <v>5.75</v>
      </c>
      <c r="E57" s="26">
        <f t="shared" si="1"/>
        <v>1926</v>
      </c>
      <c r="F57" s="26"/>
      <c r="G57" s="26"/>
    </row>
    <row r="58" spans="1:7">
      <c r="A58" s="32">
        <v>45925</v>
      </c>
      <c r="B58" s="33" t="s">
        <v>45</v>
      </c>
      <c r="C58" s="33">
        <v>300</v>
      </c>
      <c r="D58" s="35" t="str">
        <f t="shared" si="0"/>
        <v>5.75</v>
      </c>
      <c r="E58" s="26">
        <f t="shared" si="1"/>
        <v>1725</v>
      </c>
      <c r="F58" s="26"/>
      <c r="G58" s="26"/>
    </row>
    <row r="59" spans="1:7">
      <c r="A59" s="32">
        <v>45925</v>
      </c>
      <c r="B59" s="33" t="s">
        <v>38</v>
      </c>
      <c r="C59" s="33">
        <v>402</v>
      </c>
      <c r="D59" s="35" t="str">
        <f t="shared" si="0"/>
        <v>5.75</v>
      </c>
      <c r="E59" s="26">
        <f t="shared" si="1"/>
        <v>2311</v>
      </c>
      <c r="F59" s="26"/>
      <c r="G59" s="26"/>
    </row>
    <row r="60" spans="1:7">
      <c r="A60" s="32">
        <v>45925</v>
      </c>
      <c r="B60" s="33" t="s">
        <v>49</v>
      </c>
      <c r="C60" s="33">
        <v>250</v>
      </c>
      <c r="D60" s="35" t="str">
        <f t="shared" si="0"/>
        <v>5.75</v>
      </c>
      <c r="E60" s="26">
        <f t="shared" si="1"/>
        <v>1437</v>
      </c>
      <c r="F60" s="26"/>
      <c r="G60" s="26"/>
    </row>
    <row r="61" spans="1:7">
      <c r="A61" s="32">
        <v>45925</v>
      </c>
      <c r="B61" s="33" t="s">
        <v>51</v>
      </c>
      <c r="C61" s="33">
        <v>335</v>
      </c>
      <c r="D61" s="35" t="str">
        <f t="shared" si="0"/>
        <v>5.75</v>
      </c>
      <c r="E61" s="26">
        <f t="shared" si="1"/>
        <v>1926</v>
      </c>
      <c r="F61" s="26"/>
      <c r="G61" s="26"/>
    </row>
    <row r="62" spans="1:7">
      <c r="A62" s="32">
        <v>45925</v>
      </c>
      <c r="B62" s="33" t="s">
        <v>52</v>
      </c>
      <c r="C62" s="33">
        <v>600</v>
      </c>
      <c r="D62" s="35" t="str">
        <f t="shared" si="0"/>
        <v>5.75</v>
      </c>
      <c r="E62" s="26">
        <f t="shared" si="1"/>
        <v>3450</v>
      </c>
      <c r="F62" s="26"/>
      <c r="G62" s="26"/>
    </row>
    <row r="63" spans="1:7">
      <c r="A63" s="32">
        <v>45925</v>
      </c>
      <c r="B63" s="33" t="s">
        <v>39</v>
      </c>
      <c r="C63" s="33">
        <v>382.65</v>
      </c>
      <c r="D63" s="35" t="str">
        <f t="shared" si="0"/>
        <v>5.75</v>
      </c>
      <c r="E63" s="26">
        <f t="shared" si="1"/>
        <v>2200</v>
      </c>
      <c r="F63" s="26"/>
      <c r="G63" s="26"/>
    </row>
    <row r="64" spans="1:7">
      <c r="A64" s="32">
        <v>45925</v>
      </c>
      <c r="B64" s="33" t="s">
        <v>41</v>
      </c>
      <c r="C64" s="33">
        <v>500</v>
      </c>
      <c r="D64" s="35" t="str">
        <f t="shared" si="0"/>
        <v>5.75</v>
      </c>
      <c r="E64" s="26">
        <f t="shared" si="1"/>
        <v>2875</v>
      </c>
      <c r="F64" s="26"/>
      <c r="G64" s="26"/>
    </row>
    <row r="65" spans="1:7">
      <c r="A65" s="32">
        <v>45925</v>
      </c>
      <c r="B65" s="33" t="s">
        <v>48</v>
      </c>
      <c r="C65" s="33">
        <v>309</v>
      </c>
      <c r="D65" s="35" t="str">
        <f t="shared" si="0"/>
        <v>5.75</v>
      </c>
      <c r="E65" s="26">
        <f t="shared" si="1"/>
        <v>1776</v>
      </c>
      <c r="F65" s="26"/>
      <c r="G65" s="26"/>
    </row>
    <row r="66" spans="1:7">
      <c r="A66" s="32">
        <v>45925</v>
      </c>
      <c r="B66" s="33" t="s">
        <v>36</v>
      </c>
      <c r="C66" s="33">
        <v>200</v>
      </c>
      <c r="D66" s="35" t="str">
        <f t="shared" si="0"/>
        <v>5.75</v>
      </c>
      <c r="E66" s="26">
        <f t="shared" si="1"/>
        <v>1150</v>
      </c>
      <c r="F66" s="26"/>
      <c r="G66" s="26"/>
    </row>
    <row r="67" spans="1:7">
      <c r="A67" s="32">
        <v>45925</v>
      </c>
      <c r="B67" s="33" t="s">
        <v>46</v>
      </c>
      <c r="C67" s="33">
        <v>307.09</v>
      </c>
      <c r="D67" s="35" t="str">
        <f t="shared" si="0"/>
        <v>5.75</v>
      </c>
      <c r="E67" s="26">
        <f t="shared" si="1"/>
        <v>1765</v>
      </c>
      <c r="F67" s="26"/>
      <c r="G67" s="26"/>
    </row>
    <row r="68" spans="1:7">
      <c r="A68" s="32">
        <v>45925</v>
      </c>
      <c r="B68" s="33" t="s">
        <v>44</v>
      </c>
      <c r="C68" s="33">
        <v>343</v>
      </c>
      <c r="D68" s="35" t="str">
        <f t="shared" si="0"/>
        <v>5.75</v>
      </c>
      <c r="E68" s="26">
        <f t="shared" si="1"/>
        <v>1972</v>
      </c>
      <c r="F68" s="26"/>
      <c r="G68" s="26"/>
    </row>
    <row r="69" spans="1:7">
      <c r="A69" s="32">
        <v>45925</v>
      </c>
      <c r="B69" s="33" t="s">
        <v>45</v>
      </c>
      <c r="C69" s="33">
        <v>470</v>
      </c>
      <c r="D69" s="35" t="str">
        <f t="shared" si="0"/>
        <v>5.75</v>
      </c>
      <c r="E69" s="26">
        <f t="shared" si="1"/>
        <v>2702</v>
      </c>
      <c r="F69" s="26"/>
      <c r="G69" s="26"/>
    </row>
    <row r="70" spans="1:7">
      <c r="A70" s="32">
        <v>45925</v>
      </c>
      <c r="B70" s="33" t="s">
        <v>35</v>
      </c>
      <c r="C70" s="33">
        <v>550</v>
      </c>
      <c r="D70" s="35" t="str">
        <f t="shared" si="0"/>
        <v>5.75</v>
      </c>
      <c r="E70" s="26">
        <f t="shared" si="1"/>
        <v>3162</v>
      </c>
      <c r="F70" s="26"/>
      <c r="G70" s="26"/>
    </row>
    <row r="71" spans="1:7">
      <c r="A71" s="23">
        <v>45926</v>
      </c>
      <c r="B71" s="24" t="s">
        <v>46</v>
      </c>
      <c r="C71" s="24">
        <v>222.53</v>
      </c>
      <c r="D71" s="35" t="str">
        <f t="shared" ref="D71:D89" si="2">IF(C71&gt;=200,"5.75",IF(C71&lt;200,"5.95"))</f>
        <v>5.75</v>
      </c>
      <c r="E71" s="26">
        <f t="shared" ref="E71:E100" si="3">INT(C71*D71)</f>
        <v>1279</v>
      </c>
      <c r="F71" s="26"/>
      <c r="G71" s="26"/>
    </row>
    <row r="72" spans="1:7">
      <c r="A72" s="23">
        <v>45926</v>
      </c>
      <c r="B72" s="24" t="s">
        <v>53</v>
      </c>
      <c r="C72" s="24">
        <v>530</v>
      </c>
      <c r="D72" s="35" t="str">
        <f t="shared" si="2"/>
        <v>5.75</v>
      </c>
      <c r="E72" s="26">
        <f t="shared" si="3"/>
        <v>3047</v>
      </c>
      <c r="F72" s="26"/>
      <c r="G72" s="26"/>
    </row>
    <row r="73" spans="1:7">
      <c r="A73" s="23">
        <v>45926</v>
      </c>
      <c r="B73" s="24" t="s">
        <v>54</v>
      </c>
      <c r="C73" s="24">
        <v>200</v>
      </c>
      <c r="D73" s="35" t="str">
        <f t="shared" si="2"/>
        <v>5.75</v>
      </c>
      <c r="E73" s="26">
        <f t="shared" si="3"/>
        <v>1150</v>
      </c>
      <c r="F73" s="26"/>
      <c r="G73" s="26"/>
    </row>
    <row r="74" spans="1:5">
      <c r="A74" s="23">
        <v>45926</v>
      </c>
      <c r="B74" s="24" t="s">
        <v>40</v>
      </c>
      <c r="C74" s="24">
        <v>273</v>
      </c>
      <c r="D74" s="35" t="str">
        <f t="shared" si="2"/>
        <v>5.75</v>
      </c>
      <c r="E74" s="26">
        <f t="shared" si="3"/>
        <v>1569</v>
      </c>
    </row>
    <row r="75" spans="1:5">
      <c r="A75" s="23">
        <v>45926</v>
      </c>
      <c r="B75" s="24" t="s">
        <v>55</v>
      </c>
      <c r="C75" s="24">
        <v>300</v>
      </c>
      <c r="D75" s="35" t="str">
        <f t="shared" si="2"/>
        <v>5.75</v>
      </c>
      <c r="E75" s="26">
        <f t="shared" si="3"/>
        <v>1725</v>
      </c>
    </row>
    <row r="76" spans="1:5">
      <c r="A76" s="23">
        <v>45926</v>
      </c>
      <c r="B76" s="24" t="s">
        <v>56</v>
      </c>
      <c r="C76" s="24">
        <v>318.99</v>
      </c>
      <c r="D76" s="35" t="str">
        <f t="shared" si="2"/>
        <v>5.75</v>
      </c>
      <c r="E76" s="26">
        <f t="shared" si="3"/>
        <v>1834</v>
      </c>
    </row>
    <row r="77" spans="1:5">
      <c r="A77" s="23">
        <v>45926</v>
      </c>
      <c r="B77" s="24" t="s">
        <v>55</v>
      </c>
      <c r="C77" s="24">
        <v>320</v>
      </c>
      <c r="D77" s="35" t="str">
        <f t="shared" si="2"/>
        <v>5.75</v>
      </c>
      <c r="E77" s="26">
        <f t="shared" si="3"/>
        <v>1840</v>
      </c>
    </row>
    <row r="78" spans="1:5">
      <c r="A78" s="23">
        <v>45926</v>
      </c>
      <c r="B78" s="24" t="s">
        <v>37</v>
      </c>
      <c r="C78" s="24">
        <v>663</v>
      </c>
      <c r="D78" s="35" t="str">
        <f t="shared" si="2"/>
        <v>5.75</v>
      </c>
      <c r="E78" s="26">
        <f t="shared" si="3"/>
        <v>3812</v>
      </c>
    </row>
    <row r="79" spans="1:5">
      <c r="A79" s="23">
        <v>45926</v>
      </c>
      <c r="B79" s="24" t="s">
        <v>42</v>
      </c>
      <c r="C79" s="24">
        <v>324.11</v>
      </c>
      <c r="D79" s="35" t="str">
        <f t="shared" si="2"/>
        <v>5.75</v>
      </c>
      <c r="E79" s="26">
        <f t="shared" si="3"/>
        <v>1863</v>
      </c>
    </row>
    <row r="80" spans="1:5">
      <c r="A80" s="23">
        <v>45926</v>
      </c>
      <c r="B80" s="24" t="s">
        <v>43</v>
      </c>
      <c r="C80" s="24">
        <v>483</v>
      </c>
      <c r="D80" s="35" t="str">
        <f t="shared" si="2"/>
        <v>5.75</v>
      </c>
      <c r="E80" s="26">
        <f t="shared" si="3"/>
        <v>2777</v>
      </c>
    </row>
    <row r="81" spans="1:5">
      <c r="A81" s="23">
        <v>45926</v>
      </c>
      <c r="B81" s="24" t="s">
        <v>47</v>
      </c>
      <c r="C81" s="24">
        <v>500</v>
      </c>
      <c r="D81" s="35" t="str">
        <f t="shared" si="2"/>
        <v>5.75</v>
      </c>
      <c r="E81" s="26">
        <f t="shared" si="3"/>
        <v>2875</v>
      </c>
    </row>
    <row r="82" spans="1:5">
      <c r="A82" s="23">
        <v>45926</v>
      </c>
      <c r="B82" s="24" t="s">
        <v>36</v>
      </c>
      <c r="C82" s="24">
        <v>400</v>
      </c>
      <c r="D82" s="35" t="str">
        <f t="shared" si="2"/>
        <v>5.75</v>
      </c>
      <c r="E82" s="26">
        <f t="shared" si="3"/>
        <v>2300</v>
      </c>
    </row>
    <row r="83" spans="1:5">
      <c r="A83" s="23">
        <v>45926</v>
      </c>
      <c r="B83" s="24" t="s">
        <v>46</v>
      </c>
      <c r="C83" s="24">
        <v>385</v>
      </c>
      <c r="D83" s="35" t="str">
        <f t="shared" si="2"/>
        <v>5.75</v>
      </c>
      <c r="E83" s="26">
        <f t="shared" si="3"/>
        <v>2213</v>
      </c>
    </row>
    <row r="84" spans="1:5">
      <c r="A84" s="23">
        <v>45927</v>
      </c>
      <c r="B84" s="24" t="s">
        <v>40</v>
      </c>
      <c r="C84" s="24">
        <v>746</v>
      </c>
      <c r="D84" s="35" t="str">
        <f t="shared" si="2"/>
        <v>5.75</v>
      </c>
      <c r="E84" s="26">
        <f t="shared" si="3"/>
        <v>4289</v>
      </c>
    </row>
    <row r="85" spans="1:5">
      <c r="A85" s="23">
        <v>45927</v>
      </c>
      <c r="B85" s="24" t="s">
        <v>50</v>
      </c>
      <c r="C85" s="24">
        <v>220.06</v>
      </c>
      <c r="D85" s="35" t="str">
        <f t="shared" si="2"/>
        <v>5.75</v>
      </c>
      <c r="E85" s="26">
        <f t="shared" si="3"/>
        <v>1265</v>
      </c>
    </row>
    <row r="86" spans="1:5">
      <c r="A86" s="23">
        <v>45927</v>
      </c>
      <c r="B86" s="24" t="s">
        <v>48</v>
      </c>
      <c r="C86" s="24">
        <v>795</v>
      </c>
      <c r="D86" s="35" t="str">
        <f t="shared" si="2"/>
        <v>5.75</v>
      </c>
      <c r="E86" s="26">
        <f t="shared" si="3"/>
        <v>4571</v>
      </c>
    </row>
    <row r="87" spans="1:5">
      <c r="A87" s="23">
        <v>45927</v>
      </c>
      <c r="B87" s="24" t="s">
        <v>47</v>
      </c>
      <c r="C87" s="24">
        <v>640</v>
      </c>
      <c r="D87" s="35" t="str">
        <f t="shared" si="2"/>
        <v>5.75</v>
      </c>
      <c r="E87" s="26">
        <f t="shared" si="3"/>
        <v>3680</v>
      </c>
    </row>
    <row r="88" spans="1:5">
      <c r="A88" s="23">
        <v>45927</v>
      </c>
      <c r="B88" s="24" t="s">
        <v>36</v>
      </c>
      <c r="C88" s="24">
        <v>400</v>
      </c>
      <c r="D88" s="35" t="str">
        <f t="shared" si="2"/>
        <v>5.75</v>
      </c>
      <c r="E88" s="26">
        <f t="shared" si="3"/>
        <v>2300</v>
      </c>
    </row>
    <row r="89" spans="1:5">
      <c r="A89" s="23">
        <v>45927</v>
      </c>
      <c r="B89" s="24" t="s">
        <v>46</v>
      </c>
      <c r="C89" s="24">
        <v>414</v>
      </c>
      <c r="D89" s="35" t="str">
        <f t="shared" si="2"/>
        <v>5.75</v>
      </c>
      <c r="E89" s="26">
        <f t="shared" si="3"/>
        <v>2380</v>
      </c>
    </row>
    <row r="90" spans="1:5">
      <c r="A90" s="23">
        <v>45928</v>
      </c>
      <c r="B90" s="24" t="s">
        <v>53</v>
      </c>
      <c r="C90" s="24">
        <v>460</v>
      </c>
      <c r="D90" s="35" t="str">
        <f t="shared" ref="D90:D100" si="4">IF(C90&gt;=200,"5.85",IF(C90&lt;200,"5.95"))</f>
        <v>5.85</v>
      </c>
      <c r="E90" s="26">
        <f t="shared" si="3"/>
        <v>2691</v>
      </c>
    </row>
    <row r="91" spans="1:5">
      <c r="A91" s="23">
        <v>45928</v>
      </c>
      <c r="B91" s="24" t="s">
        <v>43</v>
      </c>
      <c r="C91" s="24">
        <v>627</v>
      </c>
      <c r="D91" s="35" t="str">
        <f t="shared" si="4"/>
        <v>5.85</v>
      </c>
      <c r="E91" s="26">
        <f t="shared" si="3"/>
        <v>3667</v>
      </c>
    </row>
    <row r="92" spans="1:5">
      <c r="A92" s="23">
        <v>45928</v>
      </c>
      <c r="B92" s="24" t="s">
        <v>42</v>
      </c>
      <c r="C92" s="24">
        <v>746</v>
      </c>
      <c r="D92" s="35" t="str">
        <f t="shared" si="4"/>
        <v>5.85</v>
      </c>
      <c r="E92" s="26">
        <f t="shared" si="3"/>
        <v>4364</v>
      </c>
    </row>
    <row r="93" spans="1:5">
      <c r="A93" s="23">
        <v>45928</v>
      </c>
      <c r="B93" s="24" t="s">
        <v>37</v>
      </c>
      <c r="C93" s="24">
        <v>720</v>
      </c>
      <c r="D93" s="35" t="str">
        <f t="shared" si="4"/>
        <v>5.85</v>
      </c>
      <c r="E93" s="26">
        <f t="shared" si="3"/>
        <v>4212</v>
      </c>
    </row>
    <row r="94" spans="1:5">
      <c r="A94" s="23">
        <v>45928</v>
      </c>
      <c r="B94" s="24" t="s">
        <v>54</v>
      </c>
      <c r="C94" s="24">
        <v>646</v>
      </c>
      <c r="D94" s="35" t="str">
        <f t="shared" si="4"/>
        <v>5.85</v>
      </c>
      <c r="E94" s="26">
        <f t="shared" si="3"/>
        <v>3779</v>
      </c>
    </row>
    <row r="95" spans="1:5">
      <c r="A95" s="23">
        <v>45928</v>
      </c>
      <c r="B95" s="24" t="s">
        <v>47</v>
      </c>
      <c r="C95" s="24">
        <v>373.11</v>
      </c>
      <c r="D95" s="35" t="str">
        <f t="shared" si="4"/>
        <v>5.85</v>
      </c>
      <c r="E95" s="26">
        <f t="shared" si="3"/>
        <v>2182</v>
      </c>
    </row>
    <row r="96" spans="1:5">
      <c r="A96" s="23">
        <v>45928</v>
      </c>
      <c r="B96" s="24" t="s">
        <v>36</v>
      </c>
      <c r="C96" s="24">
        <v>300</v>
      </c>
      <c r="D96" s="35" t="str">
        <f t="shared" si="4"/>
        <v>5.85</v>
      </c>
      <c r="E96" s="26">
        <f t="shared" si="3"/>
        <v>1755</v>
      </c>
    </row>
    <row r="97" spans="1:5">
      <c r="A97" s="23">
        <v>45928</v>
      </c>
      <c r="B97" s="24" t="s">
        <v>46</v>
      </c>
      <c r="C97" s="24">
        <v>400</v>
      </c>
      <c r="D97" s="35" t="str">
        <f t="shared" si="4"/>
        <v>5.85</v>
      </c>
      <c r="E97" s="26">
        <f t="shared" si="3"/>
        <v>2340</v>
      </c>
    </row>
    <row r="98" spans="1:5">
      <c r="A98" s="23">
        <v>45928</v>
      </c>
      <c r="B98" s="24" t="s">
        <v>40</v>
      </c>
      <c r="C98" s="24">
        <v>962.42</v>
      </c>
      <c r="D98" s="35" t="str">
        <f t="shared" si="4"/>
        <v>5.85</v>
      </c>
      <c r="E98" s="26">
        <f t="shared" si="3"/>
        <v>5630</v>
      </c>
    </row>
    <row r="99" spans="1:5">
      <c r="A99" s="23">
        <v>45928</v>
      </c>
      <c r="B99" s="24" t="s">
        <v>50</v>
      </c>
      <c r="C99" s="24">
        <v>628</v>
      </c>
      <c r="D99" s="35" t="str">
        <f t="shared" si="4"/>
        <v>5.85</v>
      </c>
      <c r="E99" s="26">
        <f t="shared" si="3"/>
        <v>3673</v>
      </c>
    </row>
    <row r="100" s="37" customFormat="1" spans="1:5">
      <c r="A100" s="38">
        <v>45928</v>
      </c>
      <c r="B100" s="39" t="s">
        <v>48</v>
      </c>
      <c r="C100" s="39">
        <v>313.14</v>
      </c>
      <c r="D100" s="40" t="str">
        <f t="shared" si="4"/>
        <v>5.85</v>
      </c>
      <c r="E100" s="41">
        <f t="shared" si="3"/>
        <v>1831</v>
      </c>
    </row>
    <row r="101" s="37" customFormat="1" spans="1:5">
      <c r="A101" s="38"/>
      <c r="B101" s="39"/>
      <c r="C101" s="39"/>
      <c r="D101" s="40"/>
      <c r="E101" s="41"/>
    </row>
    <row r="102" spans="1:5">
      <c r="A102" s="23">
        <v>45929</v>
      </c>
      <c r="B102" s="24" t="s">
        <v>37</v>
      </c>
      <c r="C102" s="24">
        <v>300</v>
      </c>
      <c r="D102" s="35" t="str">
        <f t="shared" ref="D102:D124" si="5">IF(C102&gt;=200,"5.85",IF(C102&lt;200,"5.95"))</f>
        <v>5.85</v>
      </c>
      <c r="E102" s="26">
        <f t="shared" ref="E102:E124" si="6">INT(C102*D102)</f>
        <v>1755</v>
      </c>
    </row>
    <row r="103" spans="1:5">
      <c r="A103" s="23">
        <v>45929</v>
      </c>
      <c r="B103" s="24" t="s">
        <v>36</v>
      </c>
      <c r="C103" s="24">
        <v>500</v>
      </c>
      <c r="D103" s="35" t="str">
        <f t="shared" si="5"/>
        <v>5.85</v>
      </c>
      <c r="E103" s="26">
        <f t="shared" si="6"/>
        <v>2925</v>
      </c>
    </row>
    <row r="104" spans="1:5">
      <c r="A104" s="23">
        <v>45929</v>
      </c>
      <c r="B104" s="24" t="s">
        <v>42</v>
      </c>
      <c r="C104" s="24">
        <v>855</v>
      </c>
      <c r="D104" s="35" t="str">
        <f t="shared" si="5"/>
        <v>5.85</v>
      </c>
      <c r="E104" s="26">
        <f t="shared" si="6"/>
        <v>5001</v>
      </c>
    </row>
    <row r="105" spans="1:5">
      <c r="A105" s="23">
        <v>45929</v>
      </c>
      <c r="B105" s="24" t="s">
        <v>43</v>
      </c>
      <c r="C105" s="24">
        <v>697</v>
      </c>
      <c r="D105" s="35" t="str">
        <f t="shared" si="5"/>
        <v>5.85</v>
      </c>
      <c r="E105" s="26">
        <f t="shared" si="6"/>
        <v>4077</v>
      </c>
    </row>
    <row r="106" spans="1:5">
      <c r="A106" s="23">
        <v>45929</v>
      </c>
      <c r="B106" s="24" t="s">
        <v>46</v>
      </c>
      <c r="C106" s="24">
        <v>500</v>
      </c>
      <c r="D106" s="35" t="str">
        <f t="shared" si="5"/>
        <v>5.85</v>
      </c>
      <c r="E106" s="26">
        <f t="shared" si="6"/>
        <v>2925</v>
      </c>
    </row>
    <row r="107" spans="1:5">
      <c r="A107" s="23">
        <v>45930</v>
      </c>
      <c r="B107" s="24" t="s">
        <v>37</v>
      </c>
      <c r="C107" s="24">
        <v>290</v>
      </c>
      <c r="D107" s="35" t="str">
        <f t="shared" si="5"/>
        <v>5.85</v>
      </c>
      <c r="E107" s="26">
        <f t="shared" si="6"/>
        <v>1696</v>
      </c>
    </row>
    <row r="108" spans="1:5">
      <c r="A108" s="23">
        <v>45930</v>
      </c>
      <c r="B108" s="24" t="s">
        <v>36</v>
      </c>
      <c r="C108" s="24">
        <v>400</v>
      </c>
      <c r="D108" s="35" t="str">
        <f t="shared" si="5"/>
        <v>5.85</v>
      </c>
      <c r="E108" s="26">
        <f t="shared" si="6"/>
        <v>2340</v>
      </c>
    </row>
    <row r="109" spans="1:5">
      <c r="A109" s="23">
        <v>45930</v>
      </c>
      <c r="B109" s="24" t="s">
        <v>40</v>
      </c>
      <c r="C109" s="24">
        <v>929</v>
      </c>
      <c r="D109" s="35" t="str">
        <f t="shared" si="5"/>
        <v>5.85</v>
      </c>
      <c r="E109" s="26">
        <f t="shared" si="6"/>
        <v>5434</v>
      </c>
    </row>
    <row r="110" spans="1:5">
      <c r="A110" s="23">
        <v>45930</v>
      </c>
      <c r="B110" s="24" t="s">
        <v>36</v>
      </c>
      <c r="C110" s="24">
        <v>203</v>
      </c>
      <c r="D110" s="35" t="str">
        <f t="shared" si="5"/>
        <v>5.85</v>
      </c>
      <c r="E110" s="26">
        <f t="shared" si="6"/>
        <v>1187</v>
      </c>
    </row>
    <row r="111" spans="1:5">
      <c r="A111" s="23">
        <v>45930</v>
      </c>
      <c r="B111" s="24" t="s">
        <v>46</v>
      </c>
      <c r="C111" s="24">
        <v>440</v>
      </c>
      <c r="D111" s="35" t="str">
        <f t="shared" si="5"/>
        <v>5.85</v>
      </c>
      <c r="E111" s="26">
        <f t="shared" si="6"/>
        <v>2574</v>
      </c>
    </row>
    <row r="112" spans="1:5">
      <c r="A112" s="23">
        <v>45930</v>
      </c>
      <c r="B112" s="24" t="s">
        <v>53</v>
      </c>
      <c r="C112" s="24">
        <v>483.06</v>
      </c>
      <c r="D112" s="35">
        <v>5.75</v>
      </c>
      <c r="E112" s="26">
        <f t="shared" si="6"/>
        <v>2777</v>
      </c>
    </row>
    <row r="113" spans="1:5">
      <c r="A113" s="23">
        <v>45930</v>
      </c>
      <c r="B113" s="24" t="s">
        <v>54</v>
      </c>
      <c r="C113" s="24">
        <v>200.04</v>
      </c>
      <c r="D113" s="35" t="str">
        <f t="shared" si="5"/>
        <v>5.85</v>
      </c>
      <c r="E113" s="26">
        <f t="shared" si="6"/>
        <v>1170</v>
      </c>
    </row>
    <row r="114" spans="1:5">
      <c r="A114" s="23">
        <v>45930</v>
      </c>
      <c r="B114" s="24" t="s">
        <v>47</v>
      </c>
      <c r="C114" s="24">
        <v>293.92</v>
      </c>
      <c r="D114" s="35" t="str">
        <f t="shared" si="5"/>
        <v>5.85</v>
      </c>
      <c r="E114" s="26">
        <f t="shared" si="6"/>
        <v>1719</v>
      </c>
    </row>
    <row r="115" spans="1:5">
      <c r="A115" s="23">
        <v>45930</v>
      </c>
      <c r="B115" s="24" t="s">
        <v>50</v>
      </c>
      <c r="C115" s="24">
        <v>263.53</v>
      </c>
      <c r="D115" s="35" t="str">
        <f t="shared" si="5"/>
        <v>5.85</v>
      </c>
      <c r="E115" s="26">
        <f t="shared" si="6"/>
        <v>1541</v>
      </c>
    </row>
    <row r="116" spans="1:5">
      <c r="A116" s="23">
        <v>45930</v>
      </c>
      <c r="B116" s="24" t="s">
        <v>48</v>
      </c>
      <c r="C116" s="24">
        <v>309.33</v>
      </c>
      <c r="D116" s="35" t="str">
        <f t="shared" si="5"/>
        <v>5.85</v>
      </c>
      <c r="E116" s="26">
        <f t="shared" si="6"/>
        <v>1809</v>
      </c>
    </row>
    <row r="117" spans="1:5">
      <c r="A117" s="23">
        <v>45931</v>
      </c>
      <c r="B117" s="24" t="s">
        <v>50</v>
      </c>
      <c r="C117" s="24">
        <v>417</v>
      </c>
      <c r="D117" s="35" t="str">
        <f t="shared" si="5"/>
        <v>5.85</v>
      </c>
      <c r="E117" s="26">
        <f t="shared" si="6"/>
        <v>2439</v>
      </c>
    </row>
    <row r="118" spans="1:5">
      <c r="A118" s="23">
        <v>45931</v>
      </c>
      <c r="B118" s="24" t="s">
        <v>40</v>
      </c>
      <c r="C118" s="24">
        <v>988</v>
      </c>
      <c r="D118" s="35" t="str">
        <f t="shared" si="5"/>
        <v>5.85</v>
      </c>
      <c r="E118" s="26">
        <f t="shared" si="6"/>
        <v>5779</v>
      </c>
    </row>
    <row r="119" spans="1:5">
      <c r="A119" s="23">
        <v>45931</v>
      </c>
      <c r="B119" s="24" t="s">
        <v>37</v>
      </c>
      <c r="C119" s="24">
        <v>493</v>
      </c>
      <c r="D119" s="35" t="str">
        <f t="shared" si="5"/>
        <v>5.85</v>
      </c>
      <c r="E119" s="26">
        <f t="shared" si="6"/>
        <v>2884</v>
      </c>
    </row>
    <row r="120" spans="1:5">
      <c r="A120" s="23">
        <v>45931</v>
      </c>
      <c r="B120" s="24" t="s">
        <v>53</v>
      </c>
      <c r="C120" s="24">
        <v>685.01</v>
      </c>
      <c r="D120" s="35">
        <v>5.8</v>
      </c>
      <c r="E120" s="26">
        <f t="shared" si="6"/>
        <v>3973</v>
      </c>
    </row>
    <row r="121" spans="1:5">
      <c r="A121" s="23">
        <v>45931</v>
      </c>
      <c r="B121" s="24" t="s">
        <v>54</v>
      </c>
      <c r="C121" s="24">
        <v>200</v>
      </c>
      <c r="D121" s="35" t="str">
        <f t="shared" si="5"/>
        <v>5.85</v>
      </c>
      <c r="E121" s="26">
        <f t="shared" si="6"/>
        <v>1170</v>
      </c>
    </row>
    <row r="122" spans="1:5">
      <c r="A122" s="23">
        <v>45931</v>
      </c>
      <c r="B122" s="24" t="s">
        <v>47</v>
      </c>
      <c r="C122" s="24">
        <v>300</v>
      </c>
      <c r="D122" s="35" t="str">
        <f t="shared" si="5"/>
        <v>5.85</v>
      </c>
      <c r="E122" s="26">
        <f t="shared" si="6"/>
        <v>1755</v>
      </c>
    </row>
    <row r="123" spans="1:5">
      <c r="A123" s="23">
        <v>45931</v>
      </c>
      <c r="B123" s="24" t="s">
        <v>42</v>
      </c>
      <c r="C123" s="24">
        <v>218.6</v>
      </c>
      <c r="D123" s="35" t="str">
        <f t="shared" si="5"/>
        <v>5.85</v>
      </c>
      <c r="E123" s="26">
        <f t="shared" si="6"/>
        <v>1278</v>
      </c>
    </row>
    <row r="124" spans="1:5">
      <c r="A124" s="23">
        <v>45931</v>
      </c>
      <c r="B124" s="24" t="s">
        <v>43</v>
      </c>
      <c r="C124" s="24">
        <v>735</v>
      </c>
      <c r="D124" s="35" t="str">
        <f t="shared" si="5"/>
        <v>5.85</v>
      </c>
      <c r="E124" s="26">
        <f t="shared" si="6"/>
        <v>4299</v>
      </c>
    </row>
    <row r="125" spans="5:5">
      <c r="E125" s="36">
        <f>SUM(E102:E124)</f>
        <v>62507</v>
      </c>
    </row>
  </sheetData>
  <sortState ref="A12:G70">
    <sortCondition ref="A12:A70"/>
  </sortState>
  <mergeCells count="1">
    <mergeCell ref="B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5"/>
  <sheetViews>
    <sheetView tabSelected="1" workbookViewId="0">
      <selection activeCell="A1" sqref="A1:T52"/>
    </sheetView>
  </sheetViews>
  <sheetFormatPr defaultColWidth="9" defaultRowHeight="14.25"/>
  <cols>
    <col min="1" max="1" width="10.8" customWidth="1"/>
    <col min="2" max="2" width="9.8" customWidth="1"/>
    <col min="3" max="3" width="12" customWidth="1"/>
  </cols>
  <sheetData>
    <row r="1" ht="37.5" spans="1:12">
      <c r="A1" s="4" t="s">
        <v>0</v>
      </c>
      <c r="B1" s="5" t="s">
        <v>57</v>
      </c>
      <c r="C1" s="6"/>
      <c r="D1" s="7"/>
      <c r="E1" s="9" t="s">
        <v>2</v>
      </c>
      <c r="F1" s="9"/>
      <c r="G1" s="29"/>
      <c r="H1" s="10"/>
      <c r="I1" s="10"/>
      <c r="J1" s="10"/>
      <c r="K1" s="10"/>
      <c r="L1" s="1" t="s">
        <v>3</v>
      </c>
    </row>
    <row r="2" spans="1:12">
      <c r="A2" s="12" t="s">
        <v>58</v>
      </c>
      <c r="B2" s="12" t="s">
        <v>59</v>
      </c>
      <c r="C2" s="12" t="s">
        <v>60</v>
      </c>
      <c r="D2" s="12" t="s">
        <v>61</v>
      </c>
      <c r="E2" s="12" t="s">
        <v>62</v>
      </c>
      <c r="F2" s="10"/>
      <c r="G2" s="12"/>
      <c r="H2" s="10"/>
      <c r="I2" s="10"/>
      <c r="J2" s="10"/>
      <c r="K2" s="10"/>
      <c r="L2" s="10" t="str" cm="1">
        <f t="array" ref="L2:L36">_xlfn.TOCOL(A2:E8)</f>
        <v>冀A7369V</v>
      </c>
    </row>
    <row r="3" spans="1:12">
      <c r="A3" s="12" t="s">
        <v>63</v>
      </c>
      <c r="B3" s="12" t="s">
        <v>64</v>
      </c>
      <c r="C3" s="12" t="s">
        <v>65</v>
      </c>
      <c r="D3" s="12" t="s">
        <v>66</v>
      </c>
      <c r="E3" s="12" t="s">
        <v>67</v>
      </c>
      <c r="F3" s="14"/>
      <c r="G3" s="14"/>
      <c r="H3" s="10"/>
      <c r="I3" s="10"/>
      <c r="J3" s="10"/>
      <c r="K3" s="10"/>
      <c r="L3" s="10" t="str">
        <v>冀A99298</v>
      </c>
    </row>
    <row r="4" spans="1:12">
      <c r="A4" s="12" t="s">
        <v>68</v>
      </c>
      <c r="B4" s="14" t="s">
        <v>69</v>
      </c>
      <c r="C4" s="12" t="s">
        <v>70</v>
      </c>
      <c r="D4" s="12" t="s">
        <v>71</v>
      </c>
      <c r="E4" s="14" t="s">
        <v>72</v>
      </c>
      <c r="F4" s="14"/>
      <c r="G4" s="14"/>
      <c r="H4" s="10"/>
      <c r="I4" s="10"/>
      <c r="J4" s="10"/>
      <c r="K4" s="10"/>
      <c r="L4" s="10" t="str">
        <v>冀AQK90挂</v>
      </c>
    </row>
    <row r="5" spans="1:12">
      <c r="A5" s="15" t="s">
        <v>73</v>
      </c>
      <c r="B5" s="14" t="s">
        <v>74</v>
      </c>
      <c r="C5" s="16" t="s">
        <v>75</v>
      </c>
      <c r="D5" s="14" t="s">
        <v>76</v>
      </c>
      <c r="E5" s="14" t="s">
        <v>77</v>
      </c>
      <c r="F5" s="14"/>
      <c r="G5" s="14"/>
      <c r="H5" s="10"/>
      <c r="I5" s="10"/>
      <c r="J5" s="10"/>
      <c r="K5" s="10"/>
      <c r="L5" s="10" t="str">
        <v>冀A71FB挂</v>
      </c>
    </row>
    <row r="6" spans="1:12">
      <c r="A6" s="15" t="s">
        <v>78</v>
      </c>
      <c r="B6" s="10" t="s">
        <v>79</v>
      </c>
      <c r="C6" s="14" t="s">
        <v>80</v>
      </c>
      <c r="D6" s="14"/>
      <c r="E6" s="14"/>
      <c r="F6" s="14"/>
      <c r="G6" s="14"/>
      <c r="H6" s="10"/>
      <c r="I6" s="10"/>
      <c r="J6" s="10"/>
      <c r="K6" s="10"/>
      <c r="L6" s="10" t="str">
        <v>冀AAA183</v>
      </c>
    </row>
    <row r="7" spans="1:12">
      <c r="A7" s="32" t="s">
        <v>81</v>
      </c>
      <c r="B7" s="33" t="s">
        <v>82</v>
      </c>
      <c r="C7" s="34" t="s">
        <v>83</v>
      </c>
      <c r="D7" s="33" t="s">
        <v>84</v>
      </c>
      <c r="E7" s="33" t="s">
        <v>85</v>
      </c>
      <c r="F7" s="14"/>
      <c r="G7" s="14"/>
      <c r="H7" s="10"/>
      <c r="I7" s="10"/>
      <c r="J7" s="10"/>
      <c r="K7" s="10"/>
      <c r="L7" s="10" t="str">
        <v>冀ASD62挂</v>
      </c>
    </row>
    <row r="8" spans="1:12">
      <c r="A8" s="32" t="s">
        <v>86</v>
      </c>
      <c r="B8" s="33" t="s">
        <v>87</v>
      </c>
      <c r="C8" s="34" t="s">
        <v>88</v>
      </c>
      <c r="D8" s="33" t="s">
        <v>89</v>
      </c>
      <c r="E8" s="33" t="s">
        <v>90</v>
      </c>
      <c r="F8" s="14"/>
      <c r="G8" s="14"/>
      <c r="H8" s="10"/>
      <c r="I8" s="10"/>
      <c r="J8" s="10"/>
      <c r="K8" s="10"/>
      <c r="L8" s="10" t="str">
        <v>冀A70GA挂</v>
      </c>
    </row>
    <row r="9" spans="1:12">
      <c r="A9" s="15"/>
      <c r="B9" s="14"/>
      <c r="C9" s="16"/>
      <c r="D9" s="14"/>
      <c r="E9" s="14"/>
      <c r="F9" s="14"/>
      <c r="G9" s="14"/>
      <c r="H9" s="10"/>
      <c r="I9" s="10"/>
      <c r="J9" s="10"/>
      <c r="K9" s="10"/>
      <c r="L9" s="10" t="str">
        <v>粤ABM032</v>
      </c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 t="str">
        <v>苏AS113挂</v>
      </c>
    </row>
    <row r="11" spans="1:12">
      <c r="A11" s="20" t="s">
        <v>28</v>
      </c>
      <c r="B11" s="21" t="s">
        <v>29</v>
      </c>
      <c r="C11" s="22" t="s">
        <v>30</v>
      </c>
      <c r="D11" s="21" t="s">
        <v>31</v>
      </c>
      <c r="E11" s="21" t="s">
        <v>32</v>
      </c>
      <c r="F11" s="21" t="s">
        <v>33</v>
      </c>
      <c r="G11" s="21" t="s">
        <v>34</v>
      </c>
      <c r="H11" s="10"/>
      <c r="I11" s="10"/>
      <c r="J11" s="10"/>
      <c r="K11" s="10"/>
      <c r="L11" s="10" t="str">
        <v>冀A4C106</v>
      </c>
    </row>
    <row r="12" spans="1:12">
      <c r="A12" s="32">
        <v>45923</v>
      </c>
      <c r="B12" s="33" t="s">
        <v>91</v>
      </c>
      <c r="C12" s="33">
        <v>250</v>
      </c>
      <c r="D12" s="35" t="str">
        <f t="shared" ref="D12:D39" si="0">IF(C12&gt;=200,"5.75",IF(C12&lt;200,"5.95"))</f>
        <v>5.75</v>
      </c>
      <c r="E12" s="26">
        <f t="shared" ref="E12:E39" si="1">INT(C12*D12)</f>
        <v>1437</v>
      </c>
      <c r="F12" s="26"/>
      <c r="G12" s="26"/>
      <c r="L12" s="10" t="str">
        <v>冀ADU625</v>
      </c>
    </row>
    <row r="13" spans="1:12">
      <c r="A13" s="32">
        <v>45923</v>
      </c>
      <c r="B13" s="33" t="s">
        <v>92</v>
      </c>
      <c r="C13" s="33">
        <v>200</v>
      </c>
      <c r="D13" s="35" t="str">
        <f t="shared" si="0"/>
        <v>5.75</v>
      </c>
      <c r="E13" s="26">
        <f t="shared" si="1"/>
        <v>1150</v>
      </c>
      <c r="F13" s="26"/>
      <c r="G13" s="26"/>
      <c r="L13" t="str">
        <v>豫A3612Z</v>
      </c>
    </row>
    <row r="14" spans="1:12">
      <c r="A14" s="32">
        <v>45923</v>
      </c>
      <c r="B14" s="33" t="s">
        <v>93</v>
      </c>
      <c r="C14" s="33">
        <v>300</v>
      </c>
      <c r="D14" s="35" t="str">
        <f t="shared" si="0"/>
        <v>5.75</v>
      </c>
      <c r="E14" s="26">
        <f t="shared" si="1"/>
        <v>1725</v>
      </c>
      <c r="F14" s="26"/>
      <c r="G14" s="26"/>
      <c r="L14" t="str">
        <v>冀A384AZ</v>
      </c>
    </row>
    <row r="15" spans="1:12">
      <c r="A15" s="32">
        <v>45923</v>
      </c>
      <c r="B15" s="33" t="s">
        <v>94</v>
      </c>
      <c r="C15" s="33">
        <v>111</v>
      </c>
      <c r="D15" s="35" t="str">
        <f t="shared" si="0"/>
        <v>5.95</v>
      </c>
      <c r="E15" s="26">
        <f t="shared" si="1"/>
        <v>660</v>
      </c>
      <c r="F15" s="26"/>
      <c r="G15" s="26"/>
      <c r="L15" t="str">
        <v>冀AKW621</v>
      </c>
    </row>
    <row r="16" spans="1:12">
      <c r="A16" s="32">
        <v>45923</v>
      </c>
      <c r="B16" s="33" t="s">
        <v>95</v>
      </c>
      <c r="C16" s="33">
        <v>1174.78</v>
      </c>
      <c r="D16" s="35" t="str">
        <f t="shared" si="0"/>
        <v>5.75</v>
      </c>
      <c r="E16" s="26">
        <f t="shared" si="1"/>
        <v>6754</v>
      </c>
      <c r="F16" s="26"/>
      <c r="G16" s="26"/>
      <c r="L16" t="str">
        <v>豫BE1975</v>
      </c>
    </row>
    <row r="17" spans="1:12">
      <c r="A17" s="32">
        <v>45923</v>
      </c>
      <c r="B17" s="33" t="s">
        <v>96</v>
      </c>
      <c r="C17" s="33">
        <v>643</v>
      </c>
      <c r="D17" s="35" t="str">
        <f t="shared" si="0"/>
        <v>5.75</v>
      </c>
      <c r="E17" s="26">
        <f t="shared" si="1"/>
        <v>3697</v>
      </c>
      <c r="F17" s="26"/>
      <c r="G17" s="26"/>
      <c r="L17" t="str">
        <v>粤VU3316</v>
      </c>
    </row>
    <row r="18" spans="1:12">
      <c r="A18" s="32">
        <v>45923</v>
      </c>
      <c r="B18" s="33" t="s">
        <v>97</v>
      </c>
      <c r="C18" s="33">
        <v>470</v>
      </c>
      <c r="D18" s="35" t="str">
        <f t="shared" si="0"/>
        <v>5.75</v>
      </c>
      <c r="E18" s="26">
        <f t="shared" si="1"/>
        <v>2702</v>
      </c>
      <c r="F18" s="26"/>
      <c r="G18" s="26"/>
      <c r="L18" t="str">
        <v>粤V46207</v>
      </c>
    </row>
    <row r="19" spans="1:12">
      <c r="A19" s="32">
        <v>45923</v>
      </c>
      <c r="B19" s="33" t="s">
        <v>98</v>
      </c>
      <c r="C19" s="33">
        <v>300</v>
      </c>
      <c r="D19" s="35" t="str">
        <f t="shared" si="0"/>
        <v>5.75</v>
      </c>
      <c r="E19" s="26">
        <f t="shared" si="1"/>
        <v>1725</v>
      </c>
      <c r="F19" s="26"/>
      <c r="G19" s="26"/>
      <c r="L19" t="str">
        <v>粤V33963</v>
      </c>
    </row>
    <row r="20" spans="1:12">
      <c r="A20" s="32">
        <v>45923</v>
      </c>
      <c r="B20" s="33" t="s">
        <v>99</v>
      </c>
      <c r="C20" s="33">
        <v>175.02</v>
      </c>
      <c r="D20" s="35" t="str">
        <f t="shared" si="0"/>
        <v>5.95</v>
      </c>
      <c r="E20" s="26">
        <f t="shared" si="1"/>
        <v>1041</v>
      </c>
      <c r="F20" s="26"/>
      <c r="G20" s="26"/>
      <c r="L20" t="str">
        <v>粤MV9386</v>
      </c>
    </row>
    <row r="21" spans="1:12">
      <c r="A21" s="32">
        <v>45923</v>
      </c>
      <c r="B21" s="33" t="s">
        <v>100</v>
      </c>
      <c r="C21" s="33">
        <v>561</v>
      </c>
      <c r="D21" s="35" t="str">
        <f t="shared" si="0"/>
        <v>5.75</v>
      </c>
      <c r="E21" s="26">
        <f t="shared" si="1"/>
        <v>3225</v>
      </c>
      <c r="F21" s="26"/>
      <c r="G21" s="26"/>
      <c r="L21" t="str">
        <v>粤MV7995</v>
      </c>
    </row>
    <row r="22" spans="1:12">
      <c r="A22" s="32">
        <v>45923</v>
      </c>
      <c r="B22" s="33" t="s">
        <v>101</v>
      </c>
      <c r="C22" s="33">
        <v>231.02</v>
      </c>
      <c r="D22" s="35" t="str">
        <f t="shared" si="0"/>
        <v>5.75</v>
      </c>
      <c r="E22" s="26">
        <f t="shared" si="1"/>
        <v>1328</v>
      </c>
      <c r="F22" s="26"/>
      <c r="G22" s="26"/>
      <c r="L22" t="str">
        <v>赣CC6975</v>
      </c>
    </row>
    <row r="23" spans="1:12">
      <c r="A23" s="32">
        <v>45923</v>
      </c>
      <c r="B23" s="33" t="s">
        <v>102</v>
      </c>
      <c r="C23" s="33">
        <v>500</v>
      </c>
      <c r="D23" s="35" t="str">
        <f t="shared" si="0"/>
        <v>5.75</v>
      </c>
      <c r="E23" s="26">
        <f t="shared" si="1"/>
        <v>2875</v>
      </c>
      <c r="F23" s="26"/>
      <c r="G23" s="26"/>
      <c r="L23" t="str">
        <v>桂E25968</v>
      </c>
    </row>
    <row r="24" spans="1:12">
      <c r="A24" s="32">
        <v>45923</v>
      </c>
      <c r="B24" s="33" t="s">
        <v>103</v>
      </c>
      <c r="C24" s="33">
        <v>500.02</v>
      </c>
      <c r="D24" s="35" t="str">
        <f t="shared" si="0"/>
        <v>5.75</v>
      </c>
      <c r="E24" s="26">
        <f t="shared" si="1"/>
        <v>2875</v>
      </c>
      <c r="F24" s="26"/>
      <c r="G24" s="26"/>
      <c r="L24" t="str">
        <v>赣CC6800</v>
      </c>
    </row>
    <row r="25" spans="1:12">
      <c r="A25" s="32">
        <v>45923</v>
      </c>
      <c r="B25" s="33" t="s">
        <v>104</v>
      </c>
      <c r="C25" s="33">
        <v>361</v>
      </c>
      <c r="D25" s="35" t="str">
        <f t="shared" si="0"/>
        <v>5.75</v>
      </c>
      <c r="E25" s="26">
        <f t="shared" si="1"/>
        <v>2075</v>
      </c>
      <c r="F25" s="26"/>
      <c r="G25" s="26"/>
      <c r="L25">
        <v>0</v>
      </c>
    </row>
    <row r="26" spans="1:12">
      <c r="A26" s="32">
        <v>45923</v>
      </c>
      <c r="B26" s="33" t="s">
        <v>105</v>
      </c>
      <c r="C26" s="33">
        <v>450</v>
      </c>
      <c r="D26" s="35" t="str">
        <f t="shared" si="0"/>
        <v>5.75</v>
      </c>
      <c r="E26" s="26">
        <f t="shared" si="1"/>
        <v>2587</v>
      </c>
      <c r="F26" s="26"/>
      <c r="G26" s="26"/>
      <c r="L26">
        <v>0</v>
      </c>
    </row>
    <row r="27" spans="1:12">
      <c r="A27" s="32">
        <v>45923</v>
      </c>
      <c r="B27" s="33" t="s">
        <v>106</v>
      </c>
      <c r="C27" s="33">
        <v>200</v>
      </c>
      <c r="D27" s="35" t="str">
        <f t="shared" si="0"/>
        <v>5.75</v>
      </c>
      <c r="E27" s="26">
        <f t="shared" si="1"/>
        <v>1150</v>
      </c>
      <c r="F27" s="26"/>
      <c r="G27" s="26"/>
      <c r="L27" t="str">
        <v>赣D73631</v>
      </c>
    </row>
    <row r="28" spans="1:12">
      <c r="A28" s="32">
        <v>45923</v>
      </c>
      <c r="B28" s="33" t="s">
        <v>107</v>
      </c>
      <c r="C28" s="33">
        <v>200</v>
      </c>
      <c r="D28" s="35" t="str">
        <f t="shared" si="0"/>
        <v>5.75</v>
      </c>
      <c r="E28" s="26">
        <f t="shared" si="1"/>
        <v>1150</v>
      </c>
      <c r="F28" s="26"/>
      <c r="G28" s="26"/>
      <c r="L28" t="str">
        <v>粤R63362</v>
      </c>
    </row>
    <row r="29" spans="1:12">
      <c r="A29" s="32">
        <v>45923</v>
      </c>
      <c r="B29" s="33" t="s">
        <v>108</v>
      </c>
      <c r="C29" s="33">
        <v>350</v>
      </c>
      <c r="D29" s="35" t="str">
        <f t="shared" si="0"/>
        <v>5.75</v>
      </c>
      <c r="E29" s="26">
        <f t="shared" si="1"/>
        <v>2012</v>
      </c>
      <c r="F29" s="26"/>
      <c r="G29" s="26"/>
      <c r="L29" t="str">
        <v>粤R73623</v>
      </c>
    </row>
    <row r="30" spans="1:12">
      <c r="A30" s="32">
        <v>45923</v>
      </c>
      <c r="B30" s="33" t="s">
        <v>109</v>
      </c>
      <c r="C30" s="33">
        <v>520</v>
      </c>
      <c r="D30" s="35" t="str">
        <f t="shared" si="0"/>
        <v>5.75</v>
      </c>
      <c r="E30" s="26">
        <f t="shared" si="1"/>
        <v>2990</v>
      </c>
      <c r="F30" s="26"/>
      <c r="G30" s="26"/>
      <c r="L30" t="str">
        <v>云D713WQ</v>
      </c>
    </row>
    <row r="31" spans="1:12">
      <c r="A31" s="32">
        <v>45923</v>
      </c>
      <c r="B31" s="33" t="s">
        <v>110</v>
      </c>
      <c r="C31" s="33">
        <v>708.95</v>
      </c>
      <c r="D31" s="35" t="str">
        <f t="shared" si="0"/>
        <v>5.75</v>
      </c>
      <c r="E31" s="26">
        <f t="shared" si="1"/>
        <v>4076</v>
      </c>
      <c r="F31" s="26"/>
      <c r="G31" s="26"/>
      <c r="L31" t="str">
        <v>赣C3M907</v>
      </c>
    </row>
    <row r="32" spans="1:12">
      <c r="A32" s="32">
        <v>45923</v>
      </c>
      <c r="B32" s="33" t="s">
        <v>111</v>
      </c>
      <c r="C32" s="33">
        <v>488</v>
      </c>
      <c r="D32" s="35" t="str">
        <f t="shared" si="0"/>
        <v>5.75</v>
      </c>
      <c r="E32" s="26">
        <f t="shared" si="1"/>
        <v>2806</v>
      </c>
      <c r="F32" s="26"/>
      <c r="G32" s="26"/>
      <c r="L32" t="str">
        <v>赣CCQ041</v>
      </c>
    </row>
    <row r="33" spans="1:12">
      <c r="A33" s="32">
        <v>45923</v>
      </c>
      <c r="B33" s="33" t="s">
        <v>108</v>
      </c>
      <c r="C33" s="33">
        <v>490.43</v>
      </c>
      <c r="D33" s="35" t="str">
        <f t="shared" si="0"/>
        <v>5.75</v>
      </c>
      <c r="E33" s="26">
        <f t="shared" si="1"/>
        <v>2819</v>
      </c>
      <c r="F33" s="26"/>
      <c r="G33" s="26"/>
      <c r="L33" t="str">
        <v>赣FB8671</v>
      </c>
    </row>
    <row r="34" spans="1:12">
      <c r="A34" s="32">
        <v>45923</v>
      </c>
      <c r="B34" s="33" t="s">
        <v>112</v>
      </c>
      <c r="C34" s="33">
        <v>200</v>
      </c>
      <c r="D34" s="35" t="str">
        <f t="shared" si="0"/>
        <v>5.75</v>
      </c>
      <c r="E34" s="26">
        <f t="shared" si="1"/>
        <v>1150</v>
      </c>
      <c r="F34" s="26"/>
      <c r="G34" s="26"/>
      <c r="L34" t="str">
        <v>赣FF3352</v>
      </c>
    </row>
    <row r="35" spans="1:12">
      <c r="A35" s="32">
        <v>45923</v>
      </c>
      <c r="B35" s="33" t="s">
        <v>91</v>
      </c>
      <c r="C35" s="33">
        <v>200</v>
      </c>
      <c r="D35" s="35" t="str">
        <f t="shared" si="0"/>
        <v>5.75</v>
      </c>
      <c r="E35" s="26">
        <f t="shared" si="1"/>
        <v>1150</v>
      </c>
      <c r="F35" s="26"/>
      <c r="G35" s="26"/>
      <c r="L35" t="str">
        <v>贵AE4T08</v>
      </c>
    </row>
    <row r="36" spans="1:12">
      <c r="A36" s="32">
        <v>45923</v>
      </c>
      <c r="B36" s="33" t="s">
        <v>92</v>
      </c>
      <c r="C36" s="33">
        <v>300.61</v>
      </c>
      <c r="D36" s="35" t="str">
        <f t="shared" si="0"/>
        <v>5.75</v>
      </c>
      <c r="E36" s="26">
        <f t="shared" si="1"/>
        <v>1728</v>
      </c>
      <c r="F36" s="26"/>
      <c r="G36" s="26"/>
      <c r="L36" t="str">
        <v>赣C9M728</v>
      </c>
    </row>
    <row r="37" spans="1:7">
      <c r="A37" s="32">
        <v>45923</v>
      </c>
      <c r="B37" s="33" t="s">
        <v>93</v>
      </c>
      <c r="C37" s="33">
        <v>200</v>
      </c>
      <c r="D37" s="35" t="str">
        <f t="shared" si="0"/>
        <v>5.75</v>
      </c>
      <c r="E37" s="26">
        <f t="shared" si="1"/>
        <v>1150</v>
      </c>
      <c r="F37" s="26"/>
      <c r="G37" s="26"/>
    </row>
    <row r="38" spans="1:7">
      <c r="A38" s="32">
        <v>45923</v>
      </c>
      <c r="B38" s="33" t="s">
        <v>94</v>
      </c>
      <c r="C38" s="33">
        <v>341</v>
      </c>
      <c r="D38" s="35" t="str">
        <f t="shared" si="0"/>
        <v>5.75</v>
      </c>
      <c r="E38" s="26">
        <f t="shared" si="1"/>
        <v>1960</v>
      </c>
      <c r="F38" s="26"/>
      <c r="G38" s="26"/>
    </row>
    <row r="39" spans="1:7">
      <c r="A39" s="32">
        <v>45923</v>
      </c>
      <c r="B39" s="33" t="s">
        <v>95</v>
      </c>
      <c r="C39" s="33">
        <v>210</v>
      </c>
      <c r="D39" s="35" t="str">
        <f t="shared" si="0"/>
        <v>5.75</v>
      </c>
      <c r="E39" s="26">
        <f t="shared" si="1"/>
        <v>1207</v>
      </c>
      <c r="F39" s="26"/>
      <c r="G39" s="26"/>
    </row>
    <row r="40" spans="1:7">
      <c r="A40" s="32">
        <v>45924</v>
      </c>
      <c r="B40" s="33" t="s">
        <v>106</v>
      </c>
      <c r="C40" s="33">
        <v>300.09</v>
      </c>
      <c r="D40" s="35" t="str">
        <f t="shared" ref="D40:D64" si="2">IF(C40&gt;=200,"5.75",IF(C40&lt;200,"5.95"))</f>
        <v>5.75</v>
      </c>
      <c r="E40" s="26">
        <f t="shared" ref="E40:E64" si="3">INT(C40*D40)</f>
        <v>1725</v>
      </c>
      <c r="F40" s="26"/>
      <c r="G40" s="26"/>
    </row>
    <row r="41" spans="1:7">
      <c r="A41" s="32">
        <v>45924</v>
      </c>
      <c r="B41" s="33" t="s">
        <v>112</v>
      </c>
      <c r="C41" s="33">
        <v>300</v>
      </c>
      <c r="D41" s="35" t="str">
        <f t="shared" si="2"/>
        <v>5.75</v>
      </c>
      <c r="E41" s="26">
        <f t="shared" si="3"/>
        <v>1725</v>
      </c>
      <c r="F41" s="26"/>
      <c r="G41" s="26"/>
    </row>
    <row r="42" spans="1:7">
      <c r="A42" s="32">
        <v>45924</v>
      </c>
      <c r="B42" s="33" t="s">
        <v>113</v>
      </c>
      <c r="C42" s="33">
        <v>499.22</v>
      </c>
      <c r="D42" s="35" t="str">
        <f t="shared" si="2"/>
        <v>5.75</v>
      </c>
      <c r="E42" s="26">
        <f t="shared" si="3"/>
        <v>2870</v>
      </c>
      <c r="F42" s="26"/>
      <c r="G42" s="26"/>
    </row>
    <row r="43" spans="1:7">
      <c r="A43" s="32">
        <v>45924</v>
      </c>
      <c r="B43" s="33" t="s">
        <v>100</v>
      </c>
      <c r="C43" s="33">
        <v>363</v>
      </c>
      <c r="D43" s="35" t="str">
        <f t="shared" si="2"/>
        <v>5.75</v>
      </c>
      <c r="E43" s="26">
        <f t="shared" si="3"/>
        <v>2087</v>
      </c>
      <c r="F43" s="26"/>
      <c r="G43" s="26"/>
    </row>
    <row r="44" spans="1:7">
      <c r="A44" s="32">
        <v>45924</v>
      </c>
      <c r="B44" s="33" t="s">
        <v>101</v>
      </c>
      <c r="C44" s="33">
        <v>271.59</v>
      </c>
      <c r="D44" s="35" t="str">
        <f t="shared" si="2"/>
        <v>5.75</v>
      </c>
      <c r="E44" s="26">
        <f t="shared" si="3"/>
        <v>1561</v>
      </c>
      <c r="F44" s="26"/>
      <c r="G44" s="26"/>
    </row>
    <row r="45" spans="1:7">
      <c r="A45" s="32">
        <v>45924</v>
      </c>
      <c r="B45" s="33" t="s">
        <v>102</v>
      </c>
      <c r="C45" s="33">
        <v>223.28</v>
      </c>
      <c r="D45" s="35" t="str">
        <f t="shared" si="2"/>
        <v>5.75</v>
      </c>
      <c r="E45" s="26">
        <f t="shared" si="3"/>
        <v>1283</v>
      </c>
      <c r="F45" s="26"/>
      <c r="G45" s="26"/>
    </row>
    <row r="46" spans="1:7">
      <c r="A46" s="32">
        <v>45924</v>
      </c>
      <c r="B46" s="33" t="s">
        <v>107</v>
      </c>
      <c r="C46" s="33">
        <v>330</v>
      </c>
      <c r="D46" s="35" t="str">
        <f t="shared" si="2"/>
        <v>5.75</v>
      </c>
      <c r="E46" s="26">
        <f t="shared" si="3"/>
        <v>1897</v>
      </c>
      <c r="F46" s="26"/>
      <c r="G46" s="26"/>
    </row>
    <row r="47" spans="1:7">
      <c r="A47" s="32">
        <v>45924</v>
      </c>
      <c r="B47" s="33" t="s">
        <v>108</v>
      </c>
      <c r="C47" s="33">
        <v>470</v>
      </c>
      <c r="D47" s="35" t="str">
        <f t="shared" si="2"/>
        <v>5.75</v>
      </c>
      <c r="E47" s="26">
        <f t="shared" si="3"/>
        <v>2702</v>
      </c>
      <c r="F47" s="26"/>
      <c r="G47" s="26"/>
    </row>
    <row r="48" spans="1:7">
      <c r="A48" s="32">
        <v>45924</v>
      </c>
      <c r="B48" s="33" t="s">
        <v>91</v>
      </c>
      <c r="C48" s="33">
        <v>250</v>
      </c>
      <c r="D48" s="35" t="str">
        <f t="shared" si="2"/>
        <v>5.75</v>
      </c>
      <c r="E48" s="26">
        <f t="shared" si="3"/>
        <v>1437</v>
      </c>
      <c r="F48" s="26"/>
      <c r="G48" s="26"/>
    </row>
    <row r="49" spans="1:7">
      <c r="A49" s="32">
        <v>45924</v>
      </c>
      <c r="B49" s="33" t="s">
        <v>92</v>
      </c>
      <c r="C49" s="33">
        <v>400</v>
      </c>
      <c r="D49" s="35" t="str">
        <f t="shared" si="2"/>
        <v>5.75</v>
      </c>
      <c r="E49" s="26">
        <f t="shared" si="3"/>
        <v>2300</v>
      </c>
      <c r="F49" s="26"/>
      <c r="G49" s="26"/>
    </row>
    <row r="50" spans="1:7">
      <c r="A50" s="32">
        <v>45924</v>
      </c>
      <c r="B50" s="33" t="s">
        <v>93</v>
      </c>
      <c r="C50" s="33">
        <v>270</v>
      </c>
      <c r="D50" s="35" t="str">
        <f t="shared" si="2"/>
        <v>5.75</v>
      </c>
      <c r="E50" s="26">
        <f t="shared" si="3"/>
        <v>1552</v>
      </c>
      <c r="F50" s="26"/>
      <c r="G50" s="26"/>
    </row>
    <row r="51" spans="1:7">
      <c r="A51" s="32">
        <v>45924</v>
      </c>
      <c r="B51" s="33" t="s">
        <v>94</v>
      </c>
      <c r="C51" s="33">
        <v>350</v>
      </c>
      <c r="D51" s="35" t="str">
        <f t="shared" si="2"/>
        <v>5.75</v>
      </c>
      <c r="E51" s="26">
        <f t="shared" si="3"/>
        <v>2012</v>
      </c>
      <c r="F51" s="26"/>
      <c r="G51" s="26"/>
    </row>
    <row r="52" spans="1:7">
      <c r="A52" s="32">
        <v>45924</v>
      </c>
      <c r="B52" s="33" t="s">
        <v>95</v>
      </c>
      <c r="C52" s="33">
        <v>300</v>
      </c>
      <c r="D52" s="35" t="str">
        <f t="shared" si="2"/>
        <v>5.75</v>
      </c>
      <c r="E52" s="26">
        <f t="shared" si="3"/>
        <v>1725</v>
      </c>
      <c r="F52" s="26"/>
      <c r="G52" s="26"/>
    </row>
    <row r="53" spans="1:7">
      <c r="A53" s="32">
        <v>45924</v>
      </c>
      <c r="B53" s="33" t="s">
        <v>96</v>
      </c>
      <c r="C53" s="33">
        <v>300</v>
      </c>
      <c r="D53" s="35" t="str">
        <f t="shared" si="2"/>
        <v>5.75</v>
      </c>
      <c r="E53" s="26">
        <f t="shared" si="3"/>
        <v>1725</v>
      </c>
      <c r="F53" s="26"/>
      <c r="G53" s="26"/>
    </row>
    <row r="54" spans="1:7">
      <c r="A54" s="32">
        <v>45924</v>
      </c>
      <c r="B54" s="33" t="s">
        <v>98</v>
      </c>
      <c r="C54" s="33">
        <v>580</v>
      </c>
      <c r="D54" s="35" t="str">
        <f t="shared" si="2"/>
        <v>5.75</v>
      </c>
      <c r="E54" s="26">
        <f t="shared" si="3"/>
        <v>3335</v>
      </c>
      <c r="F54" s="26"/>
      <c r="G54" s="26"/>
    </row>
    <row r="55" spans="1:7">
      <c r="A55" s="32">
        <v>45924</v>
      </c>
      <c r="B55" s="33" t="s">
        <v>103</v>
      </c>
      <c r="C55" s="33">
        <v>200</v>
      </c>
      <c r="D55" s="35" t="str">
        <f t="shared" si="2"/>
        <v>5.75</v>
      </c>
      <c r="E55" s="26">
        <f t="shared" si="3"/>
        <v>1150</v>
      </c>
      <c r="F55" s="26"/>
      <c r="G55" s="26"/>
    </row>
    <row r="56" spans="1:7">
      <c r="A56" s="32">
        <v>45924</v>
      </c>
      <c r="B56" s="33" t="s">
        <v>106</v>
      </c>
      <c r="C56" s="33">
        <v>500</v>
      </c>
      <c r="D56" s="35" t="str">
        <f t="shared" si="2"/>
        <v>5.75</v>
      </c>
      <c r="E56" s="26">
        <f t="shared" si="3"/>
        <v>2875</v>
      </c>
      <c r="F56" s="26"/>
      <c r="G56" s="26"/>
    </row>
    <row r="57" spans="1:7">
      <c r="A57" s="32">
        <v>45924</v>
      </c>
      <c r="B57" s="33" t="s">
        <v>99</v>
      </c>
      <c r="C57" s="33">
        <v>450</v>
      </c>
      <c r="D57" s="35" t="str">
        <f t="shared" si="2"/>
        <v>5.75</v>
      </c>
      <c r="E57" s="26">
        <f t="shared" si="3"/>
        <v>2587</v>
      </c>
      <c r="F57" s="26"/>
      <c r="G57" s="26"/>
    </row>
    <row r="58" spans="1:7">
      <c r="A58" s="32">
        <v>45924</v>
      </c>
      <c r="B58" s="33" t="s">
        <v>112</v>
      </c>
      <c r="C58" s="33">
        <v>299.99</v>
      </c>
      <c r="D58" s="35" t="str">
        <f t="shared" si="2"/>
        <v>5.75</v>
      </c>
      <c r="E58" s="26">
        <f t="shared" si="3"/>
        <v>1724</v>
      </c>
      <c r="F58" s="26"/>
      <c r="G58" s="26"/>
    </row>
    <row r="59" spans="1:7">
      <c r="A59" s="32">
        <v>45924</v>
      </c>
      <c r="B59" s="33" t="s">
        <v>111</v>
      </c>
      <c r="C59" s="33">
        <v>500</v>
      </c>
      <c r="D59" s="35" t="str">
        <f t="shared" si="2"/>
        <v>5.75</v>
      </c>
      <c r="E59" s="26">
        <f t="shared" si="3"/>
        <v>2875</v>
      </c>
      <c r="F59" s="26"/>
      <c r="G59" s="26"/>
    </row>
    <row r="60" spans="1:7">
      <c r="A60" s="32">
        <v>45924</v>
      </c>
      <c r="B60" s="33" t="s">
        <v>101</v>
      </c>
      <c r="C60" s="33">
        <v>350</v>
      </c>
      <c r="D60" s="35" t="str">
        <f t="shared" si="2"/>
        <v>5.75</v>
      </c>
      <c r="E60" s="26">
        <f t="shared" si="3"/>
        <v>2012</v>
      </c>
      <c r="F60" s="26"/>
      <c r="G60" s="26"/>
    </row>
    <row r="61" spans="1:7">
      <c r="A61" s="32">
        <v>45924</v>
      </c>
      <c r="B61" s="33" t="s">
        <v>102</v>
      </c>
      <c r="C61" s="33">
        <v>250.45</v>
      </c>
      <c r="D61" s="35" t="str">
        <f t="shared" si="2"/>
        <v>5.75</v>
      </c>
      <c r="E61" s="26">
        <f t="shared" si="3"/>
        <v>1440</v>
      </c>
      <c r="F61" s="26"/>
      <c r="G61" s="26"/>
    </row>
    <row r="62" spans="1:7">
      <c r="A62" s="32">
        <v>45924</v>
      </c>
      <c r="B62" s="33" t="s">
        <v>108</v>
      </c>
      <c r="C62" s="33">
        <v>350</v>
      </c>
      <c r="D62" s="35" t="str">
        <f t="shared" si="2"/>
        <v>5.75</v>
      </c>
      <c r="E62" s="26">
        <f t="shared" si="3"/>
        <v>2012</v>
      </c>
      <c r="F62" s="26"/>
      <c r="G62" s="26"/>
    </row>
    <row r="63" spans="1:7">
      <c r="A63" s="32">
        <v>45924</v>
      </c>
      <c r="B63" s="33" t="s">
        <v>107</v>
      </c>
      <c r="C63" s="33">
        <v>350</v>
      </c>
      <c r="D63" s="35" t="str">
        <f t="shared" si="2"/>
        <v>5.75</v>
      </c>
      <c r="E63" s="26">
        <f t="shared" si="3"/>
        <v>2012</v>
      </c>
      <c r="F63" s="26"/>
      <c r="G63" s="26"/>
    </row>
    <row r="64" spans="1:7">
      <c r="A64" s="32">
        <v>45924</v>
      </c>
      <c r="B64" s="33" t="s">
        <v>104</v>
      </c>
      <c r="C64" s="33">
        <v>200</v>
      </c>
      <c r="D64" s="35" t="str">
        <f t="shared" si="2"/>
        <v>5.75</v>
      </c>
      <c r="E64" s="26">
        <f t="shared" si="3"/>
        <v>1150</v>
      </c>
      <c r="F64" s="26"/>
      <c r="G64" s="26"/>
    </row>
    <row r="65" spans="1:7">
      <c r="A65" s="32">
        <v>45925</v>
      </c>
      <c r="B65" s="33" t="s">
        <v>106</v>
      </c>
      <c r="C65" s="33">
        <v>300</v>
      </c>
      <c r="D65" s="35" t="str">
        <f t="shared" ref="D65:D97" si="4">IF(C65&gt;=200,"5.75",IF(C65&lt;200,"5.95"))</f>
        <v>5.75</v>
      </c>
      <c r="E65" s="26">
        <f t="shared" ref="E65:E97" si="5">INT(C65*D65)</f>
        <v>1725</v>
      </c>
      <c r="F65" s="26"/>
      <c r="G65" s="26"/>
    </row>
    <row r="66" spans="1:7">
      <c r="A66" s="32">
        <v>45925</v>
      </c>
      <c r="B66" s="33" t="s">
        <v>112</v>
      </c>
      <c r="C66" s="33">
        <v>371.81</v>
      </c>
      <c r="D66" s="35" t="str">
        <f t="shared" si="4"/>
        <v>5.75</v>
      </c>
      <c r="E66" s="26">
        <f t="shared" si="5"/>
        <v>2137</v>
      </c>
      <c r="F66" s="26"/>
      <c r="G66" s="26"/>
    </row>
    <row r="67" spans="1:7">
      <c r="A67" s="32">
        <v>45925</v>
      </c>
      <c r="B67" s="33" t="s">
        <v>104</v>
      </c>
      <c r="C67" s="33">
        <v>160.99</v>
      </c>
      <c r="D67" s="35" t="str">
        <f t="shared" si="4"/>
        <v>5.95</v>
      </c>
      <c r="E67" s="26">
        <f t="shared" si="5"/>
        <v>957</v>
      </c>
      <c r="F67" s="26"/>
      <c r="G67" s="26"/>
    </row>
    <row r="68" spans="1:7">
      <c r="A68" s="32">
        <v>45925</v>
      </c>
      <c r="B68" s="33" t="s">
        <v>91</v>
      </c>
      <c r="C68" s="33">
        <v>400</v>
      </c>
      <c r="D68" s="35" t="str">
        <f t="shared" si="4"/>
        <v>5.75</v>
      </c>
      <c r="E68" s="26">
        <f t="shared" si="5"/>
        <v>2300</v>
      </c>
      <c r="F68" s="26"/>
      <c r="G68" s="26"/>
    </row>
    <row r="69" spans="1:7">
      <c r="A69" s="32">
        <v>45925</v>
      </c>
      <c r="B69" s="33" t="s">
        <v>92</v>
      </c>
      <c r="C69" s="33">
        <v>380</v>
      </c>
      <c r="D69" s="35" t="str">
        <f t="shared" si="4"/>
        <v>5.75</v>
      </c>
      <c r="E69" s="26">
        <f t="shared" si="5"/>
        <v>2185</v>
      </c>
      <c r="F69" s="26"/>
      <c r="G69" s="26"/>
    </row>
    <row r="70" spans="1:7">
      <c r="A70" s="32">
        <v>45925</v>
      </c>
      <c r="B70" s="33" t="s">
        <v>99</v>
      </c>
      <c r="C70" s="33">
        <v>129.289</v>
      </c>
      <c r="D70" s="35" t="str">
        <f t="shared" si="4"/>
        <v>5.95</v>
      </c>
      <c r="E70" s="26">
        <f t="shared" si="5"/>
        <v>769</v>
      </c>
      <c r="F70" s="26"/>
      <c r="G70" s="26"/>
    </row>
    <row r="71" spans="1:7">
      <c r="A71" s="32">
        <v>45925</v>
      </c>
      <c r="B71" s="33" t="s">
        <v>93</v>
      </c>
      <c r="C71" s="33">
        <v>380</v>
      </c>
      <c r="D71" s="35" t="str">
        <f t="shared" si="4"/>
        <v>5.75</v>
      </c>
      <c r="E71" s="26">
        <f t="shared" si="5"/>
        <v>2185</v>
      </c>
      <c r="F71" s="26"/>
      <c r="G71" s="26"/>
    </row>
    <row r="72" spans="1:7">
      <c r="A72" s="32">
        <v>45925</v>
      </c>
      <c r="B72" s="33" t="s">
        <v>97</v>
      </c>
      <c r="C72" s="33">
        <v>450</v>
      </c>
      <c r="D72" s="35" t="str">
        <f t="shared" si="4"/>
        <v>5.75</v>
      </c>
      <c r="E72" s="26">
        <f t="shared" si="5"/>
        <v>2587</v>
      </c>
      <c r="F72" s="26"/>
      <c r="G72" s="26"/>
    </row>
    <row r="73" spans="1:7">
      <c r="A73" s="32">
        <v>45925</v>
      </c>
      <c r="B73" s="33" t="s">
        <v>114</v>
      </c>
      <c r="C73" s="33">
        <v>300</v>
      </c>
      <c r="D73" s="35" t="str">
        <f t="shared" si="4"/>
        <v>5.75</v>
      </c>
      <c r="E73" s="26">
        <f t="shared" si="5"/>
        <v>1725</v>
      </c>
      <c r="F73" s="26"/>
      <c r="G73" s="26"/>
    </row>
    <row r="74" spans="1:7">
      <c r="A74" s="32">
        <v>45925</v>
      </c>
      <c r="B74" s="33" t="s">
        <v>115</v>
      </c>
      <c r="C74" s="33">
        <v>360</v>
      </c>
      <c r="D74" s="35" t="str">
        <f t="shared" si="4"/>
        <v>5.75</v>
      </c>
      <c r="E74" s="26">
        <f t="shared" si="5"/>
        <v>2070</v>
      </c>
      <c r="F74" s="26"/>
      <c r="G74" s="26"/>
    </row>
    <row r="75" spans="1:7">
      <c r="A75" s="32">
        <v>45925</v>
      </c>
      <c r="B75" s="33" t="s">
        <v>116</v>
      </c>
      <c r="C75" s="33">
        <v>310</v>
      </c>
      <c r="D75" s="35" t="str">
        <f t="shared" si="4"/>
        <v>5.75</v>
      </c>
      <c r="E75" s="26">
        <f t="shared" si="5"/>
        <v>1782</v>
      </c>
      <c r="F75" s="26"/>
      <c r="G75" s="26"/>
    </row>
    <row r="76" spans="1:7">
      <c r="A76" s="32">
        <v>45925</v>
      </c>
      <c r="B76" s="33" t="s">
        <v>117</v>
      </c>
      <c r="C76" s="33">
        <v>500</v>
      </c>
      <c r="D76" s="35" t="str">
        <f t="shared" si="4"/>
        <v>5.75</v>
      </c>
      <c r="E76" s="26">
        <f t="shared" si="5"/>
        <v>2875</v>
      </c>
      <c r="F76" s="26"/>
      <c r="G76" s="26"/>
    </row>
    <row r="77" spans="1:7">
      <c r="A77" s="32">
        <v>45925</v>
      </c>
      <c r="B77" s="33" t="s">
        <v>104</v>
      </c>
      <c r="C77" s="33">
        <v>200</v>
      </c>
      <c r="D77" s="35" t="str">
        <f t="shared" si="4"/>
        <v>5.75</v>
      </c>
      <c r="E77" s="26">
        <f t="shared" si="5"/>
        <v>1150</v>
      </c>
      <c r="F77" s="26"/>
      <c r="G77" s="26"/>
    </row>
    <row r="78" spans="1:7">
      <c r="A78" s="32">
        <v>45925</v>
      </c>
      <c r="B78" s="33" t="s">
        <v>118</v>
      </c>
      <c r="C78" s="33">
        <v>500.01</v>
      </c>
      <c r="D78" s="35" t="str">
        <f t="shared" si="4"/>
        <v>5.75</v>
      </c>
      <c r="E78" s="26">
        <f t="shared" si="5"/>
        <v>2875</v>
      </c>
      <c r="F78" s="26"/>
      <c r="G78" s="26"/>
    </row>
    <row r="79" spans="1:7">
      <c r="A79" s="32">
        <v>45925</v>
      </c>
      <c r="B79" s="33" t="s">
        <v>119</v>
      </c>
      <c r="C79" s="33">
        <v>449.99</v>
      </c>
      <c r="D79" s="35" t="str">
        <f t="shared" si="4"/>
        <v>5.75</v>
      </c>
      <c r="E79" s="26">
        <f t="shared" si="5"/>
        <v>2587</v>
      </c>
      <c r="F79" s="26"/>
      <c r="G79" s="26"/>
    </row>
    <row r="80" spans="1:7">
      <c r="A80" s="32">
        <v>45925</v>
      </c>
      <c r="B80" s="33" t="s">
        <v>120</v>
      </c>
      <c r="C80" s="33">
        <v>500</v>
      </c>
      <c r="D80" s="35" t="str">
        <f t="shared" si="4"/>
        <v>5.75</v>
      </c>
      <c r="E80" s="26">
        <f t="shared" si="5"/>
        <v>2875</v>
      </c>
      <c r="F80" s="26"/>
      <c r="G80" s="26"/>
    </row>
    <row r="81" spans="1:7">
      <c r="A81" s="32">
        <v>45925</v>
      </c>
      <c r="B81" s="33" t="s">
        <v>109</v>
      </c>
      <c r="C81" s="33">
        <v>606</v>
      </c>
      <c r="D81" s="35" t="str">
        <f t="shared" si="4"/>
        <v>5.75</v>
      </c>
      <c r="E81" s="26">
        <f t="shared" si="5"/>
        <v>3484</v>
      </c>
      <c r="F81" s="26"/>
      <c r="G81" s="26"/>
    </row>
    <row r="82" spans="1:7">
      <c r="A82" s="32">
        <v>45925</v>
      </c>
      <c r="B82" s="33" t="s">
        <v>107</v>
      </c>
      <c r="C82" s="33">
        <v>360</v>
      </c>
      <c r="D82" s="35" t="str">
        <f t="shared" si="4"/>
        <v>5.75</v>
      </c>
      <c r="E82" s="26">
        <f t="shared" si="5"/>
        <v>2070</v>
      </c>
      <c r="F82" s="26"/>
      <c r="G82" s="26"/>
    </row>
    <row r="83" spans="1:7">
      <c r="A83" s="32">
        <v>45925</v>
      </c>
      <c r="B83" s="33" t="s">
        <v>110</v>
      </c>
      <c r="C83" s="33">
        <v>482</v>
      </c>
      <c r="D83" s="35" t="str">
        <f t="shared" si="4"/>
        <v>5.75</v>
      </c>
      <c r="E83" s="26">
        <f t="shared" si="5"/>
        <v>2771</v>
      </c>
      <c r="F83" s="26"/>
      <c r="G83" s="26"/>
    </row>
    <row r="84" spans="1:7">
      <c r="A84" s="32">
        <v>45925</v>
      </c>
      <c r="B84" s="33" t="s">
        <v>105</v>
      </c>
      <c r="C84" s="33">
        <v>500</v>
      </c>
      <c r="D84" s="35" t="str">
        <f t="shared" si="4"/>
        <v>5.75</v>
      </c>
      <c r="E84" s="26">
        <f t="shared" si="5"/>
        <v>2875</v>
      </c>
      <c r="F84" s="26"/>
      <c r="G84" s="26"/>
    </row>
    <row r="85" spans="1:7">
      <c r="A85" s="32">
        <v>45925</v>
      </c>
      <c r="B85" s="33" t="s">
        <v>94</v>
      </c>
      <c r="C85" s="33">
        <v>530</v>
      </c>
      <c r="D85" s="35" t="str">
        <f t="shared" si="4"/>
        <v>5.75</v>
      </c>
      <c r="E85" s="26">
        <f t="shared" si="5"/>
        <v>3047</v>
      </c>
      <c r="F85" s="26"/>
      <c r="G85" s="26"/>
    </row>
    <row r="86" spans="1:7">
      <c r="A86" s="32">
        <v>45925</v>
      </c>
      <c r="B86" s="33" t="s">
        <v>99</v>
      </c>
      <c r="C86" s="33">
        <v>200</v>
      </c>
      <c r="D86" s="35" t="str">
        <f t="shared" si="4"/>
        <v>5.75</v>
      </c>
      <c r="E86" s="26">
        <f t="shared" si="5"/>
        <v>1150</v>
      </c>
      <c r="F86" s="26"/>
      <c r="G86" s="26"/>
    </row>
    <row r="87" spans="1:7">
      <c r="A87" s="32">
        <v>45925</v>
      </c>
      <c r="B87" s="33" t="s">
        <v>97</v>
      </c>
      <c r="C87" s="33">
        <v>730.01</v>
      </c>
      <c r="D87" s="35">
        <v>5.7</v>
      </c>
      <c r="E87" s="26">
        <f t="shared" si="5"/>
        <v>4161</v>
      </c>
      <c r="F87" s="26"/>
      <c r="G87" s="26"/>
    </row>
    <row r="88" spans="1:7">
      <c r="A88" s="32">
        <v>45925</v>
      </c>
      <c r="B88" s="33" t="s">
        <v>114</v>
      </c>
      <c r="C88" s="33">
        <v>339</v>
      </c>
      <c r="D88" s="35" t="str">
        <f t="shared" si="4"/>
        <v>5.75</v>
      </c>
      <c r="E88" s="26">
        <f t="shared" si="5"/>
        <v>1949</v>
      </c>
      <c r="F88" s="26"/>
      <c r="G88" s="26"/>
    </row>
    <row r="89" spans="1:7">
      <c r="A89" s="32">
        <v>45925</v>
      </c>
      <c r="B89" s="33" t="s">
        <v>121</v>
      </c>
      <c r="C89" s="33">
        <v>350.01</v>
      </c>
      <c r="D89" s="35" t="str">
        <f t="shared" si="4"/>
        <v>5.75</v>
      </c>
      <c r="E89" s="26">
        <f t="shared" si="5"/>
        <v>2012</v>
      </c>
      <c r="F89" s="26"/>
      <c r="G89" s="26"/>
    </row>
    <row r="90" spans="1:7">
      <c r="A90" s="32">
        <v>45925</v>
      </c>
      <c r="B90" s="33" t="s">
        <v>116</v>
      </c>
      <c r="C90" s="33">
        <v>600.11</v>
      </c>
      <c r="D90" s="35" t="str">
        <f t="shared" si="4"/>
        <v>5.75</v>
      </c>
      <c r="E90" s="26">
        <f t="shared" si="5"/>
        <v>3450</v>
      </c>
      <c r="F90" s="26"/>
      <c r="G90" s="26"/>
    </row>
    <row r="91" spans="1:7">
      <c r="A91" s="32">
        <v>45925</v>
      </c>
      <c r="B91" s="33" t="s">
        <v>108</v>
      </c>
      <c r="C91" s="33">
        <v>200</v>
      </c>
      <c r="D91" s="35" t="str">
        <f t="shared" si="4"/>
        <v>5.75</v>
      </c>
      <c r="E91" s="26">
        <f t="shared" si="5"/>
        <v>1150</v>
      </c>
      <c r="F91" s="26"/>
      <c r="G91" s="26"/>
    </row>
    <row r="92" spans="1:7">
      <c r="A92" s="32">
        <v>45925</v>
      </c>
      <c r="B92" s="33" t="s">
        <v>118</v>
      </c>
      <c r="C92" s="33">
        <v>300</v>
      </c>
      <c r="D92" s="35" t="str">
        <f t="shared" si="4"/>
        <v>5.75</v>
      </c>
      <c r="E92" s="26">
        <f t="shared" si="5"/>
        <v>1725</v>
      </c>
      <c r="F92" s="26"/>
      <c r="G92" s="26"/>
    </row>
    <row r="93" spans="1:7">
      <c r="A93" s="32">
        <v>45925</v>
      </c>
      <c r="B93" s="33" t="s">
        <v>111</v>
      </c>
      <c r="C93" s="33">
        <v>400</v>
      </c>
      <c r="D93" s="35" t="str">
        <f t="shared" si="4"/>
        <v>5.75</v>
      </c>
      <c r="E93" s="26">
        <f t="shared" si="5"/>
        <v>2300</v>
      </c>
      <c r="F93" s="26"/>
      <c r="G93" s="26"/>
    </row>
    <row r="94" spans="1:7">
      <c r="A94" s="32">
        <v>45925</v>
      </c>
      <c r="B94" s="33" t="s">
        <v>95</v>
      </c>
      <c r="C94" s="33">
        <v>327</v>
      </c>
      <c r="D94" s="35" t="str">
        <f t="shared" si="4"/>
        <v>5.75</v>
      </c>
      <c r="E94" s="26">
        <f t="shared" si="5"/>
        <v>1880</v>
      </c>
      <c r="F94" s="26"/>
      <c r="G94" s="26"/>
    </row>
    <row r="95" spans="1:7">
      <c r="A95" s="32">
        <v>45925</v>
      </c>
      <c r="B95" s="33" t="s">
        <v>96</v>
      </c>
      <c r="C95" s="33">
        <v>330</v>
      </c>
      <c r="D95" s="35" t="str">
        <f t="shared" si="4"/>
        <v>5.75</v>
      </c>
      <c r="E95" s="26">
        <f t="shared" si="5"/>
        <v>1897</v>
      </c>
      <c r="F95" s="26"/>
      <c r="G95" s="26"/>
    </row>
    <row r="96" spans="1:7">
      <c r="A96" s="32">
        <v>45925</v>
      </c>
      <c r="B96" s="33" t="s">
        <v>98</v>
      </c>
      <c r="C96" s="33">
        <v>214.02</v>
      </c>
      <c r="D96" s="35" t="str">
        <f t="shared" si="4"/>
        <v>5.75</v>
      </c>
      <c r="E96" s="26">
        <f t="shared" si="5"/>
        <v>1230</v>
      </c>
      <c r="F96" s="26"/>
      <c r="G96" s="26"/>
    </row>
    <row r="97" spans="1:7">
      <c r="A97" s="32">
        <v>45925</v>
      </c>
      <c r="B97" s="33" t="s">
        <v>103</v>
      </c>
      <c r="C97" s="33">
        <v>200</v>
      </c>
      <c r="D97" s="35" t="str">
        <f t="shared" si="4"/>
        <v>5.75</v>
      </c>
      <c r="E97" s="26">
        <f t="shared" si="5"/>
        <v>1150</v>
      </c>
      <c r="F97" s="26"/>
      <c r="G97" s="26"/>
    </row>
    <row r="98" spans="1:7">
      <c r="A98" s="32"/>
      <c r="B98" s="33"/>
      <c r="C98" s="33"/>
      <c r="D98" s="35"/>
      <c r="E98" s="26"/>
      <c r="F98" s="26"/>
      <c r="G98" s="26"/>
    </row>
    <row r="99" spans="1:7">
      <c r="A99" s="23">
        <v>45926</v>
      </c>
      <c r="B99" s="24" t="s">
        <v>101</v>
      </c>
      <c r="C99" s="24">
        <v>400</v>
      </c>
      <c r="D99" s="35" t="str">
        <f t="shared" ref="D99:D130" si="6">IF(C99&gt;=200,"5.75",IF(C99&lt;200,"5.95"))</f>
        <v>5.75</v>
      </c>
      <c r="E99" s="26">
        <f t="shared" ref="E99:E130" si="7">INT(C99*D99)</f>
        <v>2300</v>
      </c>
      <c r="F99" s="26"/>
      <c r="G99" s="26"/>
    </row>
    <row r="100" spans="1:7">
      <c r="A100" s="23">
        <v>45926</v>
      </c>
      <c r="B100" s="24" t="s">
        <v>102</v>
      </c>
      <c r="C100" s="24">
        <v>240</v>
      </c>
      <c r="D100" s="35" t="str">
        <f t="shared" si="6"/>
        <v>5.75</v>
      </c>
      <c r="E100" s="26">
        <f t="shared" si="7"/>
        <v>1380</v>
      </c>
      <c r="F100" s="26"/>
      <c r="G100" s="26"/>
    </row>
    <row r="101" spans="1:7">
      <c r="A101" s="23">
        <v>45926</v>
      </c>
      <c r="B101" s="24" t="s">
        <v>107</v>
      </c>
      <c r="C101" s="24">
        <v>529</v>
      </c>
      <c r="D101" s="35" t="str">
        <f t="shared" si="6"/>
        <v>5.75</v>
      </c>
      <c r="E101" s="26">
        <f t="shared" si="7"/>
        <v>3041</v>
      </c>
      <c r="F101" s="26"/>
      <c r="G101" s="26"/>
    </row>
    <row r="102" spans="1:7">
      <c r="A102" s="23">
        <v>45926</v>
      </c>
      <c r="B102" s="24" t="s">
        <v>108</v>
      </c>
      <c r="C102" s="24">
        <v>380</v>
      </c>
      <c r="D102" s="35" t="str">
        <f t="shared" si="6"/>
        <v>5.75</v>
      </c>
      <c r="E102" s="26">
        <f t="shared" si="7"/>
        <v>2185</v>
      </c>
      <c r="F102" s="26"/>
      <c r="G102" s="26"/>
    </row>
    <row r="103" spans="1:7">
      <c r="A103" s="23">
        <v>45926</v>
      </c>
      <c r="B103" s="24" t="s">
        <v>106</v>
      </c>
      <c r="C103" s="24">
        <v>390</v>
      </c>
      <c r="D103" s="35" t="str">
        <f t="shared" si="6"/>
        <v>5.75</v>
      </c>
      <c r="E103" s="26">
        <f t="shared" si="7"/>
        <v>2242</v>
      </c>
      <c r="F103" s="26"/>
      <c r="G103" s="26"/>
    </row>
    <row r="104" spans="1:7">
      <c r="A104" s="23">
        <v>45926</v>
      </c>
      <c r="B104" s="24" t="s">
        <v>112</v>
      </c>
      <c r="C104" s="24">
        <v>360</v>
      </c>
      <c r="D104" s="35" t="str">
        <f t="shared" si="6"/>
        <v>5.75</v>
      </c>
      <c r="E104" s="26">
        <f t="shared" si="7"/>
        <v>2070</v>
      </c>
      <c r="F104" s="26"/>
      <c r="G104" s="26"/>
    </row>
    <row r="105" spans="1:7">
      <c r="A105" s="23">
        <v>45926</v>
      </c>
      <c r="B105" s="24" t="s">
        <v>91</v>
      </c>
      <c r="C105" s="24">
        <v>350</v>
      </c>
      <c r="D105" s="35" t="str">
        <f t="shared" si="6"/>
        <v>5.75</v>
      </c>
      <c r="E105" s="26">
        <f t="shared" si="7"/>
        <v>2012</v>
      </c>
      <c r="F105" s="26"/>
      <c r="G105" s="26"/>
    </row>
    <row r="106" spans="1:7">
      <c r="A106" s="23">
        <v>45926</v>
      </c>
      <c r="B106" s="24" t="s">
        <v>92</v>
      </c>
      <c r="C106" s="24">
        <v>400</v>
      </c>
      <c r="D106" s="35" t="str">
        <f t="shared" si="6"/>
        <v>5.75</v>
      </c>
      <c r="E106" s="26">
        <f t="shared" si="7"/>
        <v>2300</v>
      </c>
      <c r="F106" s="26"/>
      <c r="G106" s="26"/>
    </row>
    <row r="107" spans="1:7">
      <c r="A107" s="23">
        <v>45926</v>
      </c>
      <c r="B107" s="24" t="s">
        <v>93</v>
      </c>
      <c r="C107" s="24">
        <v>295.86</v>
      </c>
      <c r="D107" s="35" t="str">
        <f t="shared" si="6"/>
        <v>5.75</v>
      </c>
      <c r="E107" s="26">
        <f t="shared" si="7"/>
        <v>1701</v>
      </c>
      <c r="F107" s="26"/>
      <c r="G107" s="26"/>
    </row>
    <row r="108" spans="1:7">
      <c r="A108" s="23">
        <v>45926</v>
      </c>
      <c r="B108" s="24" t="s">
        <v>110</v>
      </c>
      <c r="C108" s="24">
        <v>260.8</v>
      </c>
      <c r="D108" s="35" t="str">
        <f t="shared" si="6"/>
        <v>5.75</v>
      </c>
      <c r="E108" s="26">
        <f t="shared" si="7"/>
        <v>1499</v>
      </c>
      <c r="F108" s="26"/>
      <c r="G108" s="26"/>
    </row>
    <row r="109" spans="1:7">
      <c r="A109" s="23">
        <v>45926</v>
      </c>
      <c r="B109" s="24" t="s">
        <v>111</v>
      </c>
      <c r="C109" s="24">
        <v>350</v>
      </c>
      <c r="D109" s="35" t="str">
        <f t="shared" si="6"/>
        <v>5.75</v>
      </c>
      <c r="E109" s="26">
        <f t="shared" si="7"/>
        <v>2012</v>
      </c>
      <c r="F109" s="26"/>
      <c r="G109" s="26"/>
    </row>
    <row r="110" spans="1:7">
      <c r="A110" s="23">
        <v>45926</v>
      </c>
      <c r="B110" s="24" t="s">
        <v>114</v>
      </c>
      <c r="C110" s="24">
        <v>410</v>
      </c>
      <c r="D110" s="35" t="str">
        <f t="shared" si="6"/>
        <v>5.75</v>
      </c>
      <c r="E110" s="26">
        <f t="shared" si="7"/>
        <v>2357</v>
      </c>
      <c r="F110" s="26"/>
      <c r="G110" s="26"/>
    </row>
    <row r="111" spans="1:7">
      <c r="A111" s="23">
        <v>45926</v>
      </c>
      <c r="B111" s="24" t="s">
        <v>94</v>
      </c>
      <c r="C111" s="24">
        <v>350</v>
      </c>
      <c r="D111" s="35" t="str">
        <f t="shared" si="6"/>
        <v>5.75</v>
      </c>
      <c r="E111" s="26">
        <f t="shared" si="7"/>
        <v>2012</v>
      </c>
      <c r="F111" s="26"/>
      <c r="G111" s="26"/>
    </row>
    <row r="112" spans="1:7">
      <c r="A112" s="23">
        <v>45926</v>
      </c>
      <c r="B112" s="24" t="s">
        <v>122</v>
      </c>
      <c r="C112" s="24">
        <v>490</v>
      </c>
      <c r="D112" s="35" t="str">
        <f t="shared" si="6"/>
        <v>5.75</v>
      </c>
      <c r="E112" s="26">
        <f t="shared" si="7"/>
        <v>2817</v>
      </c>
      <c r="F112" s="26"/>
      <c r="G112" s="26"/>
    </row>
    <row r="113" spans="1:7">
      <c r="A113" s="23">
        <v>45926</v>
      </c>
      <c r="B113" s="24" t="s">
        <v>95</v>
      </c>
      <c r="C113" s="24">
        <v>1110</v>
      </c>
      <c r="D113" s="35" t="str">
        <f t="shared" si="6"/>
        <v>5.75</v>
      </c>
      <c r="E113" s="26">
        <f t="shared" si="7"/>
        <v>6382</v>
      </c>
      <c r="F113" s="26"/>
      <c r="G113" s="26"/>
    </row>
    <row r="114" spans="1:7">
      <c r="A114" s="23">
        <v>45926</v>
      </c>
      <c r="B114" s="24" t="s">
        <v>116</v>
      </c>
      <c r="C114" s="24">
        <v>310</v>
      </c>
      <c r="D114" s="35" t="str">
        <f t="shared" si="6"/>
        <v>5.75</v>
      </c>
      <c r="E114" s="26">
        <f t="shared" si="7"/>
        <v>1782</v>
      </c>
      <c r="F114" s="26"/>
      <c r="G114" s="26"/>
    </row>
    <row r="115" spans="1:7">
      <c r="A115" s="23">
        <v>45926</v>
      </c>
      <c r="B115" s="24" t="s">
        <v>115</v>
      </c>
      <c r="C115" s="24">
        <v>495.17</v>
      </c>
      <c r="D115" s="35" t="str">
        <f t="shared" si="6"/>
        <v>5.75</v>
      </c>
      <c r="E115" s="26">
        <f t="shared" si="7"/>
        <v>2847</v>
      </c>
      <c r="F115" s="26"/>
      <c r="G115" s="26"/>
    </row>
    <row r="116" spans="1:7">
      <c r="A116" s="23">
        <v>45926</v>
      </c>
      <c r="B116" s="24" t="s">
        <v>104</v>
      </c>
      <c r="C116" s="24">
        <v>350</v>
      </c>
      <c r="D116" s="35" t="str">
        <f t="shared" si="6"/>
        <v>5.75</v>
      </c>
      <c r="E116" s="26">
        <f t="shared" si="7"/>
        <v>2012</v>
      </c>
      <c r="F116" s="26"/>
      <c r="G116" s="26"/>
    </row>
    <row r="117" spans="1:7">
      <c r="A117" s="23">
        <v>45926</v>
      </c>
      <c r="B117" s="24" t="s">
        <v>117</v>
      </c>
      <c r="C117" s="24">
        <v>100</v>
      </c>
      <c r="D117" s="35" t="str">
        <f t="shared" si="6"/>
        <v>5.95</v>
      </c>
      <c r="E117" s="26">
        <f t="shared" si="7"/>
        <v>595</v>
      </c>
      <c r="F117" s="26"/>
      <c r="G117" s="26"/>
    </row>
    <row r="118" spans="1:7">
      <c r="A118" s="23">
        <v>45926</v>
      </c>
      <c r="B118" s="24" t="s">
        <v>99</v>
      </c>
      <c r="C118" s="24">
        <v>369.83</v>
      </c>
      <c r="D118" s="35" t="str">
        <f t="shared" si="6"/>
        <v>5.75</v>
      </c>
      <c r="E118" s="26">
        <f t="shared" si="7"/>
        <v>2126</v>
      </c>
      <c r="F118" s="26"/>
      <c r="G118" s="26"/>
    </row>
    <row r="119" spans="1:7">
      <c r="A119" s="23">
        <v>45926</v>
      </c>
      <c r="B119" s="24" t="s">
        <v>119</v>
      </c>
      <c r="C119" s="24">
        <v>350</v>
      </c>
      <c r="D119" s="35" t="str">
        <f t="shared" si="6"/>
        <v>5.75</v>
      </c>
      <c r="E119" s="26">
        <f t="shared" si="7"/>
        <v>2012</v>
      </c>
      <c r="F119" s="26"/>
      <c r="G119" s="26"/>
    </row>
    <row r="120" spans="1:7">
      <c r="A120" s="23">
        <v>45926</v>
      </c>
      <c r="B120" s="24" t="s">
        <v>120</v>
      </c>
      <c r="C120" s="24">
        <v>400</v>
      </c>
      <c r="D120" s="35" t="str">
        <f t="shared" si="6"/>
        <v>5.75</v>
      </c>
      <c r="E120" s="26">
        <f t="shared" si="7"/>
        <v>2300</v>
      </c>
      <c r="F120" s="26"/>
      <c r="G120" s="26"/>
    </row>
    <row r="121" spans="1:7">
      <c r="A121" s="23">
        <v>45926</v>
      </c>
      <c r="B121" s="24" t="s">
        <v>97</v>
      </c>
      <c r="C121" s="24">
        <v>200</v>
      </c>
      <c r="D121" s="35" t="str">
        <f t="shared" si="6"/>
        <v>5.75</v>
      </c>
      <c r="E121" s="26">
        <f t="shared" si="7"/>
        <v>1150</v>
      </c>
      <c r="F121" s="26"/>
      <c r="G121" s="26"/>
    </row>
    <row r="122" spans="1:7">
      <c r="A122" s="23">
        <v>45926</v>
      </c>
      <c r="B122" s="24" t="s">
        <v>96</v>
      </c>
      <c r="C122" s="24">
        <v>690</v>
      </c>
      <c r="D122" s="35" t="str">
        <f t="shared" si="6"/>
        <v>5.75</v>
      </c>
      <c r="E122" s="26">
        <f t="shared" si="7"/>
        <v>3967</v>
      </c>
      <c r="F122" s="26"/>
      <c r="G122" s="26"/>
    </row>
    <row r="123" spans="1:7">
      <c r="A123" s="23">
        <v>45926</v>
      </c>
      <c r="B123" s="24" t="s">
        <v>98</v>
      </c>
      <c r="C123" s="24">
        <v>433</v>
      </c>
      <c r="D123" s="35" t="str">
        <f t="shared" si="6"/>
        <v>5.75</v>
      </c>
      <c r="E123" s="26">
        <f t="shared" si="7"/>
        <v>2489</v>
      </c>
      <c r="F123" s="26"/>
      <c r="G123" s="26"/>
    </row>
    <row r="124" spans="1:7">
      <c r="A124" s="23">
        <v>45926</v>
      </c>
      <c r="B124" s="24" t="s">
        <v>107</v>
      </c>
      <c r="C124" s="24">
        <v>320</v>
      </c>
      <c r="D124" s="35" t="str">
        <f t="shared" si="6"/>
        <v>5.75</v>
      </c>
      <c r="E124" s="26">
        <f t="shared" si="7"/>
        <v>1840</v>
      </c>
      <c r="F124" s="26"/>
      <c r="G124" s="26"/>
    </row>
    <row r="125" spans="1:7">
      <c r="A125" s="23">
        <v>45926</v>
      </c>
      <c r="B125" s="24" t="s">
        <v>102</v>
      </c>
      <c r="C125" s="24">
        <v>200</v>
      </c>
      <c r="D125" s="35" t="str">
        <f t="shared" si="6"/>
        <v>5.75</v>
      </c>
      <c r="E125" s="26">
        <f t="shared" si="7"/>
        <v>1150</v>
      </c>
      <c r="F125" s="26"/>
      <c r="G125" s="26"/>
    </row>
    <row r="126" spans="1:7">
      <c r="A126" s="23">
        <v>45926</v>
      </c>
      <c r="B126" s="24" t="s">
        <v>109</v>
      </c>
      <c r="C126" s="24">
        <v>232</v>
      </c>
      <c r="D126" s="35" t="str">
        <f t="shared" si="6"/>
        <v>5.75</v>
      </c>
      <c r="E126" s="26">
        <f t="shared" si="7"/>
        <v>1334</v>
      </c>
      <c r="F126" s="26"/>
      <c r="G126" s="26"/>
    </row>
    <row r="127" spans="1:7">
      <c r="A127" s="23">
        <v>45926</v>
      </c>
      <c r="B127" s="24" t="s">
        <v>110</v>
      </c>
      <c r="C127" s="24">
        <v>400</v>
      </c>
      <c r="D127" s="35" t="str">
        <f t="shared" si="6"/>
        <v>5.75</v>
      </c>
      <c r="E127" s="26">
        <f t="shared" si="7"/>
        <v>2300</v>
      </c>
      <c r="F127" s="26"/>
      <c r="G127" s="26"/>
    </row>
    <row r="128" spans="1:7">
      <c r="A128" s="23">
        <v>45926</v>
      </c>
      <c r="B128" s="24" t="s">
        <v>111</v>
      </c>
      <c r="C128" s="24">
        <v>200</v>
      </c>
      <c r="D128" s="35" t="str">
        <f t="shared" si="6"/>
        <v>5.75</v>
      </c>
      <c r="E128" s="26">
        <f t="shared" si="7"/>
        <v>1150</v>
      </c>
      <c r="F128" s="26"/>
      <c r="G128" s="26"/>
    </row>
    <row r="129" spans="1:7">
      <c r="A129" s="23">
        <v>45926</v>
      </c>
      <c r="B129" s="24" t="s">
        <v>101</v>
      </c>
      <c r="C129" s="24">
        <v>280</v>
      </c>
      <c r="D129" s="35" t="str">
        <f t="shared" si="6"/>
        <v>5.75</v>
      </c>
      <c r="E129" s="26">
        <f t="shared" si="7"/>
        <v>1610</v>
      </c>
      <c r="F129" s="26"/>
      <c r="G129" s="26"/>
    </row>
    <row r="130" spans="1:7">
      <c r="A130" s="23">
        <v>45926</v>
      </c>
      <c r="B130" s="24" t="s">
        <v>100</v>
      </c>
      <c r="C130" s="24">
        <v>200</v>
      </c>
      <c r="D130" s="35" t="str">
        <f t="shared" si="6"/>
        <v>5.75</v>
      </c>
      <c r="E130" s="26">
        <f t="shared" si="7"/>
        <v>1150</v>
      </c>
      <c r="F130" s="26"/>
      <c r="G130" s="26"/>
    </row>
    <row r="131" spans="1:7">
      <c r="A131" s="23">
        <v>45926</v>
      </c>
      <c r="B131" s="24" t="s">
        <v>114</v>
      </c>
      <c r="C131" s="24">
        <v>400</v>
      </c>
      <c r="D131" s="35" t="str">
        <f t="shared" ref="D131:D162" si="8">IF(C131&gt;=200,"5.75",IF(C131&lt;200,"5.95"))</f>
        <v>5.75</v>
      </c>
      <c r="E131" s="26">
        <f t="shared" ref="E131:E162" si="9">INT(C131*D131)</f>
        <v>2300</v>
      </c>
      <c r="F131" s="26"/>
      <c r="G131" s="26"/>
    </row>
    <row r="132" spans="1:7">
      <c r="A132" s="23">
        <v>45926</v>
      </c>
      <c r="B132" s="24" t="s">
        <v>121</v>
      </c>
      <c r="C132" s="24">
        <v>300</v>
      </c>
      <c r="D132" s="35" t="str">
        <f t="shared" si="8"/>
        <v>5.75</v>
      </c>
      <c r="E132" s="26">
        <f t="shared" si="9"/>
        <v>1725</v>
      </c>
      <c r="F132" s="26"/>
      <c r="G132" s="26"/>
    </row>
    <row r="133" spans="1:7">
      <c r="A133" s="23">
        <v>45926</v>
      </c>
      <c r="B133" s="24" t="s">
        <v>113</v>
      </c>
      <c r="C133" s="24">
        <v>400</v>
      </c>
      <c r="D133" s="35" t="str">
        <f t="shared" si="8"/>
        <v>5.75</v>
      </c>
      <c r="E133" s="26">
        <f t="shared" si="9"/>
        <v>2300</v>
      </c>
      <c r="F133" s="26"/>
      <c r="G133" s="26"/>
    </row>
    <row r="134" spans="1:7">
      <c r="A134" s="23">
        <v>45926</v>
      </c>
      <c r="B134" s="24" t="s">
        <v>103</v>
      </c>
      <c r="C134" s="24">
        <v>320</v>
      </c>
      <c r="D134" s="35" t="str">
        <f t="shared" si="8"/>
        <v>5.75</v>
      </c>
      <c r="E134" s="26">
        <f t="shared" si="9"/>
        <v>1840</v>
      </c>
      <c r="F134" s="26"/>
      <c r="G134" s="26"/>
    </row>
    <row r="135" spans="1:7">
      <c r="A135" s="23">
        <v>45926</v>
      </c>
      <c r="B135" s="24" t="s">
        <v>116</v>
      </c>
      <c r="C135" s="24">
        <v>250</v>
      </c>
      <c r="D135" s="35" t="str">
        <f t="shared" si="8"/>
        <v>5.75</v>
      </c>
      <c r="E135" s="26">
        <f t="shared" si="9"/>
        <v>1437</v>
      </c>
      <c r="F135" s="26"/>
      <c r="G135" s="26"/>
    </row>
    <row r="136" spans="1:7">
      <c r="A136" s="23">
        <v>45927</v>
      </c>
      <c r="B136" s="24" t="s">
        <v>100</v>
      </c>
      <c r="C136" s="24">
        <v>420</v>
      </c>
      <c r="D136" s="35" t="str">
        <f t="shared" si="8"/>
        <v>5.75</v>
      </c>
      <c r="E136" s="26">
        <f t="shared" si="9"/>
        <v>2415</v>
      </c>
      <c r="F136" s="26"/>
      <c r="G136" s="26"/>
    </row>
    <row r="137" spans="1:7">
      <c r="A137" s="23">
        <v>45927</v>
      </c>
      <c r="B137" s="24" t="s">
        <v>101</v>
      </c>
      <c r="C137" s="24">
        <v>346</v>
      </c>
      <c r="D137" s="35" t="str">
        <f t="shared" si="8"/>
        <v>5.75</v>
      </c>
      <c r="E137" s="26">
        <f t="shared" si="9"/>
        <v>1989</v>
      </c>
      <c r="F137" s="26"/>
      <c r="G137" s="26"/>
    </row>
    <row r="138" spans="1:7">
      <c r="A138" s="23">
        <v>45927</v>
      </c>
      <c r="B138" s="24" t="s">
        <v>102</v>
      </c>
      <c r="C138" s="24">
        <v>380</v>
      </c>
      <c r="D138" s="35" t="str">
        <f t="shared" si="8"/>
        <v>5.75</v>
      </c>
      <c r="E138" s="26">
        <f t="shared" si="9"/>
        <v>2185</v>
      </c>
      <c r="F138" s="26"/>
      <c r="G138" s="26"/>
    </row>
    <row r="139" spans="1:7">
      <c r="A139" s="23">
        <v>45927</v>
      </c>
      <c r="B139" s="24" t="s">
        <v>107</v>
      </c>
      <c r="C139" s="24">
        <v>300</v>
      </c>
      <c r="D139" s="35" t="str">
        <f t="shared" si="8"/>
        <v>5.75</v>
      </c>
      <c r="E139" s="26">
        <f t="shared" si="9"/>
        <v>1725</v>
      </c>
      <c r="F139" s="26"/>
      <c r="G139" s="26"/>
    </row>
    <row r="140" spans="1:7">
      <c r="A140" s="23">
        <v>45927</v>
      </c>
      <c r="B140" s="24" t="s">
        <v>120</v>
      </c>
      <c r="C140" s="24">
        <v>500</v>
      </c>
      <c r="D140" s="35" t="str">
        <f t="shared" si="8"/>
        <v>5.75</v>
      </c>
      <c r="E140" s="26">
        <f t="shared" si="9"/>
        <v>2875</v>
      </c>
      <c r="F140" s="26"/>
      <c r="G140" s="26"/>
    </row>
    <row r="141" spans="1:7">
      <c r="A141" s="23">
        <v>45927</v>
      </c>
      <c r="B141" s="24" t="s">
        <v>108</v>
      </c>
      <c r="C141" s="24">
        <v>497</v>
      </c>
      <c r="D141" s="35" t="str">
        <f t="shared" si="8"/>
        <v>5.75</v>
      </c>
      <c r="E141" s="26">
        <f t="shared" si="9"/>
        <v>2857</v>
      </c>
      <c r="F141" s="26"/>
      <c r="G141" s="26"/>
    </row>
    <row r="142" spans="1:7">
      <c r="A142" s="23">
        <v>45927</v>
      </c>
      <c r="B142" s="24" t="s">
        <v>106</v>
      </c>
      <c r="C142" s="24">
        <v>300</v>
      </c>
      <c r="D142" s="35" t="str">
        <f t="shared" si="8"/>
        <v>5.75</v>
      </c>
      <c r="E142" s="26">
        <f t="shared" si="9"/>
        <v>1725</v>
      </c>
      <c r="F142" s="26"/>
      <c r="G142" s="26"/>
    </row>
    <row r="143" spans="1:7">
      <c r="A143" s="23">
        <v>45927</v>
      </c>
      <c r="B143" s="24" t="s">
        <v>112</v>
      </c>
      <c r="C143" s="24">
        <v>163.23</v>
      </c>
      <c r="D143" s="35" t="str">
        <f t="shared" si="8"/>
        <v>5.95</v>
      </c>
      <c r="E143" s="26">
        <f t="shared" si="9"/>
        <v>971</v>
      </c>
      <c r="F143" s="26"/>
      <c r="G143" s="26"/>
    </row>
    <row r="144" spans="1:7">
      <c r="A144" s="23">
        <v>45927</v>
      </c>
      <c r="B144" s="24" t="s">
        <v>121</v>
      </c>
      <c r="C144" s="24">
        <v>500</v>
      </c>
      <c r="D144" s="35" t="str">
        <f t="shared" si="8"/>
        <v>5.75</v>
      </c>
      <c r="E144" s="26">
        <f t="shared" si="9"/>
        <v>2875</v>
      </c>
      <c r="F144" s="26"/>
      <c r="G144" s="26"/>
    </row>
    <row r="145" spans="1:7">
      <c r="A145" s="23">
        <v>45927</v>
      </c>
      <c r="B145" s="24" t="s">
        <v>91</v>
      </c>
      <c r="C145" s="24">
        <v>1171.31</v>
      </c>
      <c r="D145" s="35" t="str">
        <f t="shared" si="8"/>
        <v>5.75</v>
      </c>
      <c r="E145" s="26">
        <f t="shared" si="9"/>
        <v>6735</v>
      </c>
      <c r="F145" s="26"/>
      <c r="G145" s="26"/>
    </row>
    <row r="146" spans="1:7">
      <c r="A146" s="23">
        <v>45927</v>
      </c>
      <c r="B146" s="24" t="s">
        <v>110</v>
      </c>
      <c r="C146" s="24">
        <v>479.78</v>
      </c>
      <c r="D146" s="35" t="str">
        <f t="shared" si="8"/>
        <v>5.75</v>
      </c>
      <c r="E146" s="26">
        <f t="shared" si="9"/>
        <v>2758</v>
      </c>
      <c r="F146" s="26"/>
      <c r="G146" s="26"/>
    </row>
    <row r="147" spans="1:7">
      <c r="A147" s="23">
        <v>45927</v>
      </c>
      <c r="B147" s="24" t="s">
        <v>92</v>
      </c>
      <c r="C147" s="24">
        <v>200</v>
      </c>
      <c r="D147" s="35" t="str">
        <f t="shared" si="8"/>
        <v>5.75</v>
      </c>
      <c r="E147" s="26">
        <f t="shared" si="9"/>
        <v>1150</v>
      </c>
      <c r="F147" s="26"/>
      <c r="G147" s="26"/>
    </row>
    <row r="148" spans="1:7">
      <c r="A148" s="23">
        <v>45927</v>
      </c>
      <c r="B148" s="24" t="s">
        <v>93</v>
      </c>
      <c r="C148" s="24">
        <v>320</v>
      </c>
      <c r="D148" s="35" t="str">
        <f t="shared" si="8"/>
        <v>5.75</v>
      </c>
      <c r="E148" s="26">
        <f t="shared" si="9"/>
        <v>1840</v>
      </c>
      <c r="F148" s="26"/>
      <c r="G148" s="26"/>
    </row>
    <row r="149" spans="1:7">
      <c r="A149" s="23">
        <v>45927</v>
      </c>
      <c r="B149" s="24" t="s">
        <v>94</v>
      </c>
      <c r="C149" s="24">
        <v>291.35</v>
      </c>
      <c r="D149" s="35" t="str">
        <f t="shared" si="8"/>
        <v>5.75</v>
      </c>
      <c r="E149" s="26">
        <f t="shared" si="9"/>
        <v>1675</v>
      </c>
      <c r="F149" s="26"/>
      <c r="G149" s="26"/>
    </row>
    <row r="150" spans="1:7">
      <c r="A150" s="23">
        <v>45927</v>
      </c>
      <c r="B150" s="24" t="s">
        <v>116</v>
      </c>
      <c r="C150" s="24">
        <v>223.38</v>
      </c>
      <c r="D150" s="35" t="str">
        <f t="shared" si="8"/>
        <v>5.75</v>
      </c>
      <c r="E150" s="26">
        <f t="shared" si="9"/>
        <v>1284</v>
      </c>
      <c r="F150" s="26"/>
      <c r="G150" s="26"/>
    </row>
    <row r="151" spans="1:7">
      <c r="A151" s="23">
        <v>45927</v>
      </c>
      <c r="B151" s="24" t="s">
        <v>95</v>
      </c>
      <c r="C151" s="24">
        <v>300</v>
      </c>
      <c r="D151" s="35" t="str">
        <f t="shared" si="8"/>
        <v>5.75</v>
      </c>
      <c r="E151" s="26">
        <f t="shared" si="9"/>
        <v>1725</v>
      </c>
      <c r="F151" s="26"/>
      <c r="G151" s="26"/>
    </row>
    <row r="152" spans="1:7">
      <c r="A152" s="23">
        <v>45927</v>
      </c>
      <c r="B152" s="24" t="s">
        <v>114</v>
      </c>
      <c r="C152" s="24">
        <v>196.84</v>
      </c>
      <c r="D152" s="35" t="str">
        <f t="shared" si="8"/>
        <v>5.95</v>
      </c>
      <c r="E152" s="26">
        <f t="shared" si="9"/>
        <v>1171</v>
      </c>
      <c r="F152" s="26"/>
      <c r="G152" s="26"/>
    </row>
    <row r="153" spans="1:7">
      <c r="A153" s="23">
        <v>45927</v>
      </c>
      <c r="B153" s="24" t="s">
        <v>118</v>
      </c>
      <c r="C153" s="24">
        <v>470</v>
      </c>
      <c r="D153" s="35" t="str">
        <f t="shared" si="8"/>
        <v>5.75</v>
      </c>
      <c r="E153" s="26">
        <f t="shared" si="9"/>
        <v>2702</v>
      </c>
      <c r="F153" s="26"/>
      <c r="G153" s="26"/>
    </row>
    <row r="154" spans="1:7">
      <c r="A154" s="23">
        <v>45927</v>
      </c>
      <c r="B154" s="24" t="s">
        <v>105</v>
      </c>
      <c r="C154" s="24">
        <v>450.05</v>
      </c>
      <c r="D154" s="35" t="str">
        <f t="shared" si="8"/>
        <v>5.75</v>
      </c>
      <c r="E154" s="26">
        <f t="shared" si="9"/>
        <v>2587</v>
      </c>
      <c r="F154" s="26"/>
      <c r="G154" s="26"/>
    </row>
    <row r="155" spans="1:7">
      <c r="A155" s="23">
        <v>45927</v>
      </c>
      <c r="B155" s="24" t="s">
        <v>97</v>
      </c>
      <c r="C155" s="24">
        <v>340</v>
      </c>
      <c r="D155" s="35" t="str">
        <f t="shared" si="8"/>
        <v>5.75</v>
      </c>
      <c r="E155" s="26">
        <f t="shared" si="9"/>
        <v>1955</v>
      </c>
      <c r="F155" s="26"/>
      <c r="G155" s="26"/>
    </row>
    <row r="156" spans="1:7">
      <c r="A156" s="23">
        <v>45927</v>
      </c>
      <c r="B156" s="24" t="s">
        <v>99</v>
      </c>
      <c r="C156" s="24">
        <v>400</v>
      </c>
      <c r="D156" s="35" t="str">
        <f t="shared" si="8"/>
        <v>5.75</v>
      </c>
      <c r="E156" s="26">
        <f t="shared" si="9"/>
        <v>2300</v>
      </c>
      <c r="F156" s="26"/>
      <c r="G156" s="26"/>
    </row>
    <row r="157" spans="1:7">
      <c r="A157" s="23">
        <v>45927</v>
      </c>
      <c r="B157" s="24" t="s">
        <v>111</v>
      </c>
      <c r="C157" s="24">
        <v>453</v>
      </c>
      <c r="D157" s="35" t="str">
        <f t="shared" si="8"/>
        <v>5.75</v>
      </c>
      <c r="E157" s="26">
        <f t="shared" si="9"/>
        <v>2604</v>
      </c>
      <c r="F157" s="26"/>
      <c r="G157" s="26"/>
    </row>
    <row r="158" spans="1:7">
      <c r="A158" s="23">
        <v>45927</v>
      </c>
      <c r="B158" s="24" t="s">
        <v>109</v>
      </c>
      <c r="C158" s="24">
        <v>420.01</v>
      </c>
      <c r="D158" s="35" t="str">
        <f t="shared" si="8"/>
        <v>5.75</v>
      </c>
      <c r="E158" s="26">
        <f t="shared" si="9"/>
        <v>2415</v>
      </c>
      <c r="F158" s="26"/>
      <c r="G158" s="26"/>
    </row>
    <row r="159" spans="1:7">
      <c r="A159" s="23">
        <v>45927</v>
      </c>
      <c r="B159" s="24" t="s">
        <v>100</v>
      </c>
      <c r="C159" s="24">
        <v>350</v>
      </c>
      <c r="D159" s="35" t="str">
        <f t="shared" si="8"/>
        <v>5.75</v>
      </c>
      <c r="E159" s="26">
        <f t="shared" si="9"/>
        <v>2012</v>
      </c>
      <c r="F159" s="26"/>
      <c r="G159" s="26"/>
    </row>
    <row r="160" spans="1:7">
      <c r="A160" s="23">
        <v>45927</v>
      </c>
      <c r="B160" s="24" t="s">
        <v>96</v>
      </c>
      <c r="C160" s="24">
        <v>224</v>
      </c>
      <c r="D160" s="35" t="str">
        <f t="shared" si="8"/>
        <v>5.75</v>
      </c>
      <c r="E160" s="26">
        <f t="shared" si="9"/>
        <v>1288</v>
      </c>
      <c r="F160" s="26"/>
      <c r="G160" s="26"/>
    </row>
    <row r="161" spans="1:7">
      <c r="A161" s="23">
        <v>45927</v>
      </c>
      <c r="B161" s="24" t="s">
        <v>121</v>
      </c>
      <c r="C161" s="24">
        <v>530</v>
      </c>
      <c r="D161" s="35" t="str">
        <f t="shared" si="8"/>
        <v>5.75</v>
      </c>
      <c r="E161" s="26">
        <f t="shared" si="9"/>
        <v>3047</v>
      </c>
      <c r="F161" s="26"/>
      <c r="G161" s="26"/>
    </row>
    <row r="162" spans="1:7">
      <c r="A162" s="23">
        <v>45927</v>
      </c>
      <c r="B162" s="24" t="s">
        <v>118</v>
      </c>
      <c r="C162" s="24">
        <v>650</v>
      </c>
      <c r="D162" s="35" t="str">
        <f t="shared" si="8"/>
        <v>5.75</v>
      </c>
      <c r="E162" s="26">
        <f t="shared" si="9"/>
        <v>3737</v>
      </c>
      <c r="F162" s="26"/>
      <c r="G162" s="26"/>
    </row>
    <row r="163" spans="1:7">
      <c r="A163" s="23">
        <v>45927</v>
      </c>
      <c r="B163" s="24" t="s">
        <v>105</v>
      </c>
      <c r="C163" s="24">
        <v>330</v>
      </c>
      <c r="D163" s="35" t="str">
        <f t="shared" ref="D163:D168" si="10">IF(C163&gt;=200,"5.75",IF(C163&lt;200,"5.95"))</f>
        <v>5.75</v>
      </c>
      <c r="E163" s="26">
        <f t="shared" ref="E163:E201" si="11">INT(C163*D163)</f>
        <v>1897</v>
      </c>
      <c r="F163" s="26"/>
      <c r="G163" s="26"/>
    </row>
    <row r="164" spans="1:7">
      <c r="A164" s="23">
        <v>45927</v>
      </c>
      <c r="B164" s="24" t="s">
        <v>104</v>
      </c>
      <c r="C164" s="24">
        <v>244</v>
      </c>
      <c r="D164" s="35" t="str">
        <f t="shared" si="10"/>
        <v>5.75</v>
      </c>
      <c r="E164" s="26">
        <f t="shared" si="11"/>
        <v>1403</v>
      </c>
      <c r="F164" s="26"/>
      <c r="G164" s="26"/>
    </row>
    <row r="165" spans="1:7">
      <c r="A165" s="23">
        <v>45927</v>
      </c>
      <c r="B165" s="24" t="s">
        <v>98</v>
      </c>
      <c r="C165" s="24">
        <v>380</v>
      </c>
      <c r="D165" s="35" t="str">
        <f t="shared" si="10"/>
        <v>5.75</v>
      </c>
      <c r="E165" s="26">
        <f t="shared" si="11"/>
        <v>2185</v>
      </c>
      <c r="F165" s="26"/>
      <c r="G165" s="26"/>
    </row>
    <row r="166" spans="1:7">
      <c r="A166" s="23">
        <v>45927</v>
      </c>
      <c r="B166" s="24" t="s">
        <v>103</v>
      </c>
      <c r="C166" s="24">
        <v>200</v>
      </c>
      <c r="D166" s="35" t="str">
        <f t="shared" si="10"/>
        <v>5.75</v>
      </c>
      <c r="E166" s="26">
        <f t="shared" si="11"/>
        <v>1150</v>
      </c>
      <c r="F166" s="26"/>
      <c r="G166" s="26"/>
    </row>
    <row r="167" spans="1:7">
      <c r="A167" s="23">
        <v>45927</v>
      </c>
      <c r="B167" s="24" t="s">
        <v>123</v>
      </c>
      <c r="C167" s="24">
        <v>445.01</v>
      </c>
      <c r="D167" s="35" t="str">
        <f t="shared" si="10"/>
        <v>5.75</v>
      </c>
      <c r="E167" s="26">
        <f t="shared" si="11"/>
        <v>2558</v>
      </c>
      <c r="F167" s="26"/>
      <c r="G167" s="26"/>
    </row>
    <row r="168" spans="1:7">
      <c r="A168" s="23">
        <v>45927</v>
      </c>
      <c r="B168" s="24" t="s">
        <v>113</v>
      </c>
      <c r="C168" s="24">
        <v>400</v>
      </c>
      <c r="D168" s="35" t="str">
        <f t="shared" si="10"/>
        <v>5.75</v>
      </c>
      <c r="E168" s="26">
        <f t="shared" si="11"/>
        <v>2300</v>
      </c>
      <c r="F168" s="26"/>
      <c r="G168" s="26"/>
    </row>
    <row r="169" spans="1:7">
      <c r="A169" s="23">
        <v>45928</v>
      </c>
      <c r="B169" s="24" t="s">
        <v>103</v>
      </c>
      <c r="C169" s="24">
        <v>200</v>
      </c>
      <c r="D169" s="35" t="str">
        <f t="shared" ref="D169:D201" si="12">IF(C169&gt;=200,"5.85",IF(C169&lt;200,"5.95"))</f>
        <v>5.85</v>
      </c>
      <c r="E169" s="26">
        <f t="shared" si="11"/>
        <v>1170</v>
      </c>
      <c r="F169" s="26"/>
      <c r="G169" s="26"/>
    </row>
    <row r="170" spans="1:7">
      <c r="A170" s="23">
        <v>45928</v>
      </c>
      <c r="B170" s="24" t="s">
        <v>100</v>
      </c>
      <c r="C170" s="24">
        <v>200</v>
      </c>
      <c r="D170" s="35" t="str">
        <f t="shared" si="12"/>
        <v>5.85</v>
      </c>
      <c r="E170" s="26">
        <f t="shared" si="11"/>
        <v>1170</v>
      </c>
      <c r="F170" s="26"/>
      <c r="G170" s="26"/>
    </row>
    <row r="171" spans="1:7">
      <c r="A171" s="23">
        <v>45928</v>
      </c>
      <c r="B171" s="24" t="s">
        <v>101</v>
      </c>
      <c r="C171" s="24">
        <v>200</v>
      </c>
      <c r="D171" s="35" t="str">
        <f t="shared" si="12"/>
        <v>5.85</v>
      </c>
      <c r="E171" s="26">
        <f t="shared" si="11"/>
        <v>1170</v>
      </c>
      <c r="F171" s="26"/>
      <c r="G171" s="26"/>
    </row>
    <row r="172" spans="1:7">
      <c r="A172" s="23">
        <v>45928</v>
      </c>
      <c r="B172" s="24" t="s">
        <v>102</v>
      </c>
      <c r="C172" s="24">
        <v>410</v>
      </c>
      <c r="D172" s="35" t="str">
        <f t="shared" si="12"/>
        <v>5.85</v>
      </c>
      <c r="E172" s="26">
        <f t="shared" si="11"/>
        <v>2398</v>
      </c>
      <c r="F172" s="26"/>
      <c r="G172" s="26"/>
    </row>
    <row r="173" spans="1:7">
      <c r="A173" s="23">
        <v>45928</v>
      </c>
      <c r="B173" s="24" t="s">
        <v>107</v>
      </c>
      <c r="C173" s="24">
        <v>480</v>
      </c>
      <c r="D173" s="35" t="str">
        <f t="shared" si="12"/>
        <v>5.85</v>
      </c>
      <c r="E173" s="26">
        <f t="shared" si="11"/>
        <v>2808</v>
      </c>
      <c r="F173" s="26"/>
      <c r="G173" s="26"/>
    </row>
    <row r="174" spans="1:7">
      <c r="A174" s="23">
        <v>45928</v>
      </c>
      <c r="B174" s="24" t="s">
        <v>113</v>
      </c>
      <c r="C174" s="24">
        <v>310</v>
      </c>
      <c r="D174" s="35" t="str">
        <f t="shared" si="12"/>
        <v>5.85</v>
      </c>
      <c r="E174" s="26">
        <f t="shared" si="11"/>
        <v>1813</v>
      </c>
      <c r="F174" s="26"/>
      <c r="G174" s="26"/>
    </row>
    <row r="175" spans="1:7">
      <c r="A175" s="23">
        <v>45928</v>
      </c>
      <c r="B175" s="24" t="s">
        <v>108</v>
      </c>
      <c r="C175" s="24">
        <v>200</v>
      </c>
      <c r="D175" s="35" t="str">
        <f t="shared" si="12"/>
        <v>5.85</v>
      </c>
      <c r="E175" s="26">
        <f t="shared" si="11"/>
        <v>1170</v>
      </c>
      <c r="F175" s="26"/>
      <c r="G175" s="26"/>
    </row>
    <row r="176" spans="1:7">
      <c r="A176" s="23">
        <v>45928</v>
      </c>
      <c r="B176" s="24" t="s">
        <v>106</v>
      </c>
      <c r="C176" s="24">
        <v>320</v>
      </c>
      <c r="D176" s="35" t="str">
        <f t="shared" si="12"/>
        <v>5.85</v>
      </c>
      <c r="E176" s="26">
        <f t="shared" si="11"/>
        <v>1872</v>
      </c>
      <c r="F176" s="26"/>
      <c r="G176" s="26"/>
    </row>
    <row r="177" spans="1:7">
      <c r="A177" s="23">
        <v>45928</v>
      </c>
      <c r="B177" s="24" t="s">
        <v>110</v>
      </c>
      <c r="C177" s="24">
        <v>600</v>
      </c>
      <c r="D177" s="35" t="str">
        <f t="shared" si="12"/>
        <v>5.85</v>
      </c>
      <c r="E177" s="26">
        <f t="shared" si="11"/>
        <v>3510</v>
      </c>
      <c r="F177" s="26"/>
      <c r="G177" s="26"/>
    </row>
    <row r="178" spans="1:7">
      <c r="A178" s="23">
        <v>45928</v>
      </c>
      <c r="B178" s="24" t="s">
        <v>112</v>
      </c>
      <c r="C178" s="24">
        <v>295.86</v>
      </c>
      <c r="D178" s="35" t="str">
        <f t="shared" si="12"/>
        <v>5.85</v>
      </c>
      <c r="E178" s="26">
        <f t="shared" si="11"/>
        <v>1730</v>
      </c>
      <c r="F178" s="26"/>
      <c r="G178" s="26"/>
    </row>
    <row r="179" spans="1:7">
      <c r="A179" s="23">
        <v>45928</v>
      </c>
      <c r="B179" s="24" t="s">
        <v>121</v>
      </c>
      <c r="C179" s="24">
        <v>260.24</v>
      </c>
      <c r="D179" s="35" t="str">
        <f t="shared" si="12"/>
        <v>5.85</v>
      </c>
      <c r="E179" s="26">
        <f t="shared" si="11"/>
        <v>1522</v>
      </c>
      <c r="F179" s="26"/>
      <c r="G179" s="26"/>
    </row>
    <row r="180" spans="1:7">
      <c r="A180" s="23">
        <v>45928</v>
      </c>
      <c r="B180" s="24" t="s">
        <v>105</v>
      </c>
      <c r="C180" s="24">
        <v>290</v>
      </c>
      <c r="D180" s="35" t="str">
        <f t="shared" si="12"/>
        <v>5.85</v>
      </c>
      <c r="E180" s="26">
        <f t="shared" si="11"/>
        <v>1696</v>
      </c>
      <c r="F180" s="26"/>
      <c r="G180" s="26"/>
    </row>
    <row r="181" spans="1:7">
      <c r="A181" s="23">
        <v>45928</v>
      </c>
      <c r="B181" s="24" t="s">
        <v>111</v>
      </c>
      <c r="C181" s="24">
        <v>340.01</v>
      </c>
      <c r="D181" s="35" t="str">
        <f t="shared" si="12"/>
        <v>5.85</v>
      </c>
      <c r="E181" s="26">
        <f t="shared" si="11"/>
        <v>1989</v>
      </c>
      <c r="F181" s="26"/>
      <c r="G181" s="26"/>
    </row>
    <row r="182" spans="1:7">
      <c r="A182" s="23">
        <v>45928</v>
      </c>
      <c r="B182" s="24" t="s">
        <v>118</v>
      </c>
      <c r="C182" s="24">
        <v>397.24</v>
      </c>
      <c r="D182" s="35" t="str">
        <f t="shared" si="12"/>
        <v>5.85</v>
      </c>
      <c r="E182" s="26">
        <f t="shared" si="11"/>
        <v>2323</v>
      </c>
      <c r="F182" s="26"/>
      <c r="G182" s="26"/>
    </row>
    <row r="183" spans="1:7">
      <c r="A183" s="23">
        <v>45928</v>
      </c>
      <c r="B183" s="24" t="s">
        <v>91</v>
      </c>
      <c r="C183" s="24">
        <v>200</v>
      </c>
      <c r="D183" s="35" t="str">
        <f t="shared" si="12"/>
        <v>5.85</v>
      </c>
      <c r="E183" s="26">
        <f t="shared" si="11"/>
        <v>1170</v>
      </c>
      <c r="F183" s="26"/>
      <c r="G183" s="26"/>
    </row>
    <row r="184" spans="1:7">
      <c r="A184" s="23">
        <v>45928</v>
      </c>
      <c r="B184" s="24" t="s">
        <v>92</v>
      </c>
      <c r="C184" s="24">
        <v>400</v>
      </c>
      <c r="D184" s="35" t="str">
        <f t="shared" si="12"/>
        <v>5.85</v>
      </c>
      <c r="E184" s="26">
        <f t="shared" si="11"/>
        <v>2340</v>
      </c>
      <c r="F184" s="26"/>
      <c r="G184" s="26"/>
    </row>
    <row r="185" spans="1:7">
      <c r="A185" s="23">
        <v>45928</v>
      </c>
      <c r="B185" s="24" t="s">
        <v>122</v>
      </c>
      <c r="C185" s="24">
        <v>450</v>
      </c>
      <c r="D185" s="35" t="str">
        <f t="shared" si="12"/>
        <v>5.85</v>
      </c>
      <c r="E185" s="26">
        <f t="shared" si="11"/>
        <v>2632</v>
      </c>
      <c r="F185" s="26"/>
      <c r="G185" s="26"/>
    </row>
    <row r="186" spans="1:7">
      <c r="A186" s="23">
        <v>45928</v>
      </c>
      <c r="B186" s="24" t="s">
        <v>121</v>
      </c>
      <c r="C186" s="24">
        <v>200</v>
      </c>
      <c r="D186" s="35" t="str">
        <f t="shared" si="12"/>
        <v>5.85</v>
      </c>
      <c r="E186" s="26">
        <f t="shared" si="11"/>
        <v>1170</v>
      </c>
      <c r="F186" s="26"/>
      <c r="G186" s="26"/>
    </row>
    <row r="187" spans="1:7">
      <c r="A187" s="23">
        <v>45928</v>
      </c>
      <c r="B187" s="24" t="s">
        <v>115</v>
      </c>
      <c r="C187" s="24">
        <v>330</v>
      </c>
      <c r="D187" s="35" t="str">
        <f t="shared" si="12"/>
        <v>5.85</v>
      </c>
      <c r="E187" s="26">
        <f t="shared" si="11"/>
        <v>1930</v>
      </c>
      <c r="F187" s="26"/>
      <c r="G187" s="26"/>
    </row>
    <row r="188" spans="1:7">
      <c r="A188" s="23">
        <v>45928</v>
      </c>
      <c r="B188" s="24" t="s">
        <v>117</v>
      </c>
      <c r="C188" s="24">
        <v>250</v>
      </c>
      <c r="D188" s="35" t="str">
        <f t="shared" si="12"/>
        <v>5.85</v>
      </c>
      <c r="E188" s="26">
        <f t="shared" si="11"/>
        <v>1462</v>
      </c>
      <c r="F188" s="26"/>
      <c r="G188" s="26"/>
    </row>
    <row r="189" spans="1:7">
      <c r="A189" s="23">
        <v>45928</v>
      </c>
      <c r="B189" s="24" t="s">
        <v>93</v>
      </c>
      <c r="C189" s="24">
        <v>290</v>
      </c>
      <c r="D189" s="35" t="str">
        <f t="shared" si="12"/>
        <v>5.85</v>
      </c>
      <c r="E189" s="26">
        <f t="shared" si="11"/>
        <v>1696</v>
      </c>
      <c r="F189" s="26"/>
      <c r="G189" s="26"/>
    </row>
    <row r="190" spans="1:7">
      <c r="A190" s="23">
        <v>45928</v>
      </c>
      <c r="B190" s="24" t="s">
        <v>119</v>
      </c>
      <c r="C190" s="24">
        <v>460</v>
      </c>
      <c r="D190" s="35" t="str">
        <f t="shared" si="12"/>
        <v>5.85</v>
      </c>
      <c r="E190" s="26">
        <f t="shared" si="11"/>
        <v>2691</v>
      </c>
      <c r="F190" s="26"/>
      <c r="G190" s="26"/>
    </row>
    <row r="191" spans="1:7">
      <c r="A191" s="23">
        <v>45928</v>
      </c>
      <c r="B191" s="24" t="s">
        <v>109</v>
      </c>
      <c r="C191" s="24">
        <v>177</v>
      </c>
      <c r="D191" s="35" t="str">
        <f t="shared" si="12"/>
        <v>5.95</v>
      </c>
      <c r="E191" s="26">
        <f t="shared" si="11"/>
        <v>1053</v>
      </c>
      <c r="F191" s="26"/>
      <c r="G191" s="26"/>
    </row>
    <row r="192" spans="1:7">
      <c r="A192" s="23">
        <v>45928</v>
      </c>
      <c r="B192" s="24" t="s">
        <v>120</v>
      </c>
      <c r="C192" s="24">
        <v>300</v>
      </c>
      <c r="D192" s="35" t="str">
        <f t="shared" si="12"/>
        <v>5.85</v>
      </c>
      <c r="E192" s="26">
        <f t="shared" si="11"/>
        <v>1755</v>
      </c>
      <c r="F192" s="26"/>
      <c r="G192" s="26"/>
    </row>
    <row r="193" spans="1:7">
      <c r="A193" s="23">
        <v>45928</v>
      </c>
      <c r="B193" s="24" t="s">
        <v>110</v>
      </c>
      <c r="C193" s="24">
        <v>400</v>
      </c>
      <c r="D193" s="35" t="str">
        <f t="shared" si="12"/>
        <v>5.85</v>
      </c>
      <c r="E193" s="26">
        <f t="shared" si="11"/>
        <v>2340</v>
      </c>
      <c r="F193" s="26"/>
      <c r="G193" s="26"/>
    </row>
    <row r="194" spans="1:7">
      <c r="A194" s="23">
        <v>45928</v>
      </c>
      <c r="B194" s="24" t="s">
        <v>111</v>
      </c>
      <c r="C194" s="24">
        <v>200</v>
      </c>
      <c r="D194" s="35" t="str">
        <f t="shared" si="12"/>
        <v>5.85</v>
      </c>
      <c r="E194" s="26">
        <f t="shared" si="11"/>
        <v>1170</v>
      </c>
      <c r="F194" s="26"/>
      <c r="G194" s="26"/>
    </row>
    <row r="195" spans="1:7">
      <c r="A195" s="23">
        <v>45928</v>
      </c>
      <c r="B195" s="24" t="s">
        <v>105</v>
      </c>
      <c r="C195" s="24">
        <v>200</v>
      </c>
      <c r="D195" s="35" t="str">
        <f t="shared" si="12"/>
        <v>5.85</v>
      </c>
      <c r="E195" s="26">
        <f t="shared" si="11"/>
        <v>1170</v>
      </c>
      <c r="F195" s="26"/>
      <c r="G195" s="26"/>
    </row>
    <row r="196" spans="1:7">
      <c r="A196" s="23">
        <v>45928</v>
      </c>
      <c r="B196" s="24" t="s">
        <v>118</v>
      </c>
      <c r="C196" s="24">
        <v>400</v>
      </c>
      <c r="D196" s="35" t="str">
        <f t="shared" si="12"/>
        <v>5.85</v>
      </c>
      <c r="E196" s="26">
        <f t="shared" si="11"/>
        <v>2340</v>
      </c>
      <c r="F196" s="26"/>
      <c r="G196" s="26"/>
    </row>
    <row r="197" spans="1:7">
      <c r="A197" s="23">
        <v>45928</v>
      </c>
      <c r="B197" s="24" t="s">
        <v>94</v>
      </c>
      <c r="C197" s="24">
        <v>300</v>
      </c>
      <c r="D197" s="35" t="str">
        <f t="shared" si="12"/>
        <v>5.85</v>
      </c>
      <c r="E197" s="26">
        <f t="shared" si="11"/>
        <v>1755</v>
      </c>
      <c r="F197" s="26"/>
      <c r="G197" s="26"/>
    </row>
    <row r="198" spans="1:7">
      <c r="A198" s="23">
        <v>45928</v>
      </c>
      <c r="B198" s="24" t="s">
        <v>95</v>
      </c>
      <c r="C198" s="24">
        <v>425</v>
      </c>
      <c r="D198" s="35" t="str">
        <f t="shared" si="12"/>
        <v>5.85</v>
      </c>
      <c r="E198" s="26">
        <f t="shared" si="11"/>
        <v>2486</v>
      </c>
      <c r="F198" s="26"/>
      <c r="G198" s="26"/>
    </row>
    <row r="199" spans="1:7">
      <c r="A199" s="23">
        <v>45928</v>
      </c>
      <c r="B199" s="24" t="s">
        <v>96</v>
      </c>
      <c r="C199" s="24">
        <v>400</v>
      </c>
      <c r="D199" s="35" t="str">
        <f t="shared" si="12"/>
        <v>5.85</v>
      </c>
      <c r="E199" s="26">
        <f t="shared" si="11"/>
        <v>2340</v>
      </c>
      <c r="F199" s="26"/>
      <c r="G199" s="26"/>
    </row>
    <row r="200" spans="1:7">
      <c r="A200" s="23">
        <v>45928</v>
      </c>
      <c r="B200" s="24" t="s">
        <v>98</v>
      </c>
      <c r="C200" s="24">
        <v>200</v>
      </c>
      <c r="D200" s="35" t="str">
        <f t="shared" si="12"/>
        <v>5.85</v>
      </c>
      <c r="E200" s="26">
        <f t="shared" si="11"/>
        <v>1170</v>
      </c>
      <c r="F200" s="26"/>
      <c r="G200" s="26"/>
    </row>
    <row r="201" spans="1:7">
      <c r="A201" s="23">
        <v>45928</v>
      </c>
      <c r="B201" s="24" t="s">
        <v>103</v>
      </c>
      <c r="C201" s="24">
        <v>200</v>
      </c>
      <c r="D201" s="35" t="str">
        <f t="shared" si="12"/>
        <v>5.85</v>
      </c>
      <c r="E201" s="26">
        <f t="shared" si="11"/>
        <v>1170</v>
      </c>
      <c r="F201" s="26"/>
      <c r="G201" s="26"/>
    </row>
    <row r="202" spans="1:7">
      <c r="A202" s="23"/>
      <c r="B202" s="24"/>
      <c r="C202" s="24"/>
      <c r="D202" s="35"/>
      <c r="E202" s="26"/>
      <c r="F202" s="27"/>
      <c r="G202" s="27"/>
    </row>
    <row r="203" spans="1:5">
      <c r="A203" s="23">
        <v>45929</v>
      </c>
      <c r="B203" s="24" t="s">
        <v>113</v>
      </c>
      <c r="C203" s="24">
        <v>390</v>
      </c>
      <c r="D203" s="35" t="str">
        <f t="shared" ref="D203:D234" si="13">IF(C203&gt;=200,"5.85",IF(C203&lt;200,"5.95"))</f>
        <v>5.85</v>
      </c>
      <c r="E203" s="26">
        <f t="shared" ref="E203:E234" si="14">INT(C203*D203)</f>
        <v>2281</v>
      </c>
    </row>
    <row r="204" spans="1:5">
      <c r="A204" s="23">
        <v>45929</v>
      </c>
      <c r="B204" s="24" t="s">
        <v>96</v>
      </c>
      <c r="C204" s="24">
        <v>220</v>
      </c>
      <c r="D204" s="35">
        <v>5.8</v>
      </c>
      <c r="E204" s="26">
        <f t="shared" si="14"/>
        <v>1276</v>
      </c>
    </row>
    <row r="205" spans="1:5">
      <c r="A205" s="23">
        <v>45929</v>
      </c>
      <c r="B205" s="24" t="s">
        <v>98</v>
      </c>
      <c r="C205" s="24">
        <v>200</v>
      </c>
      <c r="D205" s="35" t="str">
        <f t="shared" si="13"/>
        <v>5.85</v>
      </c>
      <c r="E205" s="26">
        <f t="shared" si="14"/>
        <v>1170</v>
      </c>
    </row>
    <row r="206" spans="1:5">
      <c r="A206" s="23">
        <v>45929</v>
      </c>
      <c r="B206" s="24" t="s">
        <v>100</v>
      </c>
      <c r="C206" s="24">
        <v>360</v>
      </c>
      <c r="D206" s="35" t="str">
        <f t="shared" si="13"/>
        <v>5.85</v>
      </c>
      <c r="E206" s="26">
        <f t="shared" si="14"/>
        <v>2106</v>
      </c>
    </row>
    <row r="207" spans="1:5">
      <c r="A207" s="23">
        <v>45929</v>
      </c>
      <c r="B207" s="24" t="s">
        <v>101</v>
      </c>
      <c r="C207" s="24">
        <v>387.64</v>
      </c>
      <c r="D207" s="35" t="str">
        <f t="shared" si="13"/>
        <v>5.85</v>
      </c>
      <c r="E207" s="26">
        <f t="shared" si="14"/>
        <v>2267</v>
      </c>
    </row>
    <row r="208" spans="1:5">
      <c r="A208" s="23">
        <v>45929</v>
      </c>
      <c r="B208" s="24" t="s">
        <v>102</v>
      </c>
      <c r="C208" s="24">
        <v>400.03</v>
      </c>
      <c r="D208" s="35" t="str">
        <f t="shared" si="13"/>
        <v>5.85</v>
      </c>
      <c r="E208" s="26">
        <f t="shared" si="14"/>
        <v>2340</v>
      </c>
    </row>
    <row r="209" spans="1:5">
      <c r="A209" s="23">
        <v>45929</v>
      </c>
      <c r="B209" s="24" t="s">
        <v>103</v>
      </c>
      <c r="C209" s="24">
        <v>460</v>
      </c>
      <c r="D209" s="35" t="str">
        <f t="shared" si="13"/>
        <v>5.85</v>
      </c>
      <c r="E209" s="26">
        <f t="shared" si="14"/>
        <v>2691</v>
      </c>
    </row>
    <row r="210" spans="1:5">
      <c r="A210" s="23">
        <v>45929</v>
      </c>
      <c r="B210" s="24" t="s">
        <v>106</v>
      </c>
      <c r="C210" s="24">
        <v>230</v>
      </c>
      <c r="D210" s="35" t="str">
        <f t="shared" si="13"/>
        <v>5.85</v>
      </c>
      <c r="E210" s="26">
        <f t="shared" si="14"/>
        <v>1345</v>
      </c>
    </row>
    <row r="211" spans="1:5">
      <c r="A211" s="23">
        <v>45929</v>
      </c>
      <c r="B211" s="24" t="s">
        <v>112</v>
      </c>
      <c r="C211" s="24">
        <v>200</v>
      </c>
      <c r="D211" s="35" t="str">
        <f t="shared" si="13"/>
        <v>5.85</v>
      </c>
      <c r="E211" s="26">
        <f t="shared" si="14"/>
        <v>1170</v>
      </c>
    </row>
    <row r="212" spans="1:5">
      <c r="A212" s="23">
        <v>45929</v>
      </c>
      <c r="B212" s="24" t="s">
        <v>91</v>
      </c>
      <c r="C212" s="24">
        <v>300</v>
      </c>
      <c r="D212" s="35" t="str">
        <f t="shared" si="13"/>
        <v>5.85</v>
      </c>
      <c r="E212" s="26">
        <f t="shared" si="14"/>
        <v>1755</v>
      </c>
    </row>
    <row r="213" spans="1:5">
      <c r="A213" s="23">
        <v>45929</v>
      </c>
      <c r="B213" s="24" t="s">
        <v>92</v>
      </c>
      <c r="C213" s="24">
        <v>230</v>
      </c>
      <c r="D213" s="35" t="str">
        <f t="shared" si="13"/>
        <v>5.85</v>
      </c>
      <c r="E213" s="26">
        <f t="shared" si="14"/>
        <v>1345</v>
      </c>
    </row>
    <row r="214" spans="1:5">
      <c r="A214" s="23">
        <v>45929</v>
      </c>
      <c r="B214" s="24" t="s">
        <v>93</v>
      </c>
      <c r="C214" s="24">
        <v>240</v>
      </c>
      <c r="D214" s="35" t="str">
        <f t="shared" si="13"/>
        <v>5.85</v>
      </c>
      <c r="E214" s="26">
        <f t="shared" si="14"/>
        <v>1404</v>
      </c>
    </row>
    <row r="215" spans="1:5">
      <c r="A215" s="23">
        <v>45929</v>
      </c>
      <c r="B215" s="24" t="s">
        <v>119</v>
      </c>
      <c r="C215" s="24">
        <v>302.68</v>
      </c>
      <c r="D215" s="35" t="str">
        <f t="shared" si="13"/>
        <v>5.85</v>
      </c>
      <c r="E215" s="26">
        <f t="shared" si="14"/>
        <v>1770</v>
      </c>
    </row>
    <row r="216" spans="1:5">
      <c r="A216" s="23">
        <v>45929</v>
      </c>
      <c r="B216" s="24" t="s">
        <v>120</v>
      </c>
      <c r="C216" s="24">
        <v>400</v>
      </c>
      <c r="D216" s="35" t="str">
        <f t="shared" si="13"/>
        <v>5.85</v>
      </c>
      <c r="E216" s="26">
        <f t="shared" si="14"/>
        <v>2340</v>
      </c>
    </row>
    <row r="217" spans="1:5">
      <c r="A217" s="23">
        <v>45929</v>
      </c>
      <c r="B217" s="24" t="s">
        <v>107</v>
      </c>
      <c r="C217" s="24">
        <v>200</v>
      </c>
      <c r="D217" s="35" t="str">
        <f t="shared" si="13"/>
        <v>5.85</v>
      </c>
      <c r="E217" s="26">
        <f t="shared" si="14"/>
        <v>1170</v>
      </c>
    </row>
    <row r="218" spans="1:5">
      <c r="A218" s="23">
        <v>45929</v>
      </c>
      <c r="B218" s="24" t="s">
        <v>121</v>
      </c>
      <c r="C218" s="24">
        <v>300</v>
      </c>
      <c r="D218" s="35" t="str">
        <f t="shared" si="13"/>
        <v>5.85</v>
      </c>
      <c r="E218" s="26">
        <f t="shared" si="14"/>
        <v>1755</v>
      </c>
    </row>
    <row r="219" spans="1:5">
      <c r="A219" s="23">
        <v>45929</v>
      </c>
      <c r="B219" s="24" t="s">
        <v>109</v>
      </c>
      <c r="C219" s="24">
        <v>349</v>
      </c>
      <c r="D219" s="35" t="str">
        <f t="shared" si="13"/>
        <v>5.85</v>
      </c>
      <c r="E219" s="26">
        <f t="shared" si="14"/>
        <v>2041</v>
      </c>
    </row>
    <row r="220" spans="1:5">
      <c r="A220" s="23">
        <v>45929</v>
      </c>
      <c r="B220" s="24" t="s">
        <v>110</v>
      </c>
      <c r="C220" s="24">
        <v>490</v>
      </c>
      <c r="D220" s="35" t="str">
        <f t="shared" si="13"/>
        <v>5.85</v>
      </c>
      <c r="E220" s="26">
        <f t="shared" si="14"/>
        <v>2866</v>
      </c>
    </row>
    <row r="221" spans="1:5">
      <c r="A221" s="23">
        <v>45929</v>
      </c>
      <c r="B221" s="24" t="s">
        <v>111</v>
      </c>
      <c r="C221" s="24">
        <v>515</v>
      </c>
      <c r="D221" s="35" t="str">
        <f t="shared" si="13"/>
        <v>5.85</v>
      </c>
      <c r="E221" s="26">
        <f t="shared" si="14"/>
        <v>3012</v>
      </c>
    </row>
    <row r="222" spans="1:5">
      <c r="A222" s="23">
        <v>45929</v>
      </c>
      <c r="B222" s="24" t="s">
        <v>108</v>
      </c>
      <c r="C222" s="24">
        <v>495.98</v>
      </c>
      <c r="D222" s="35" t="str">
        <f t="shared" si="13"/>
        <v>5.85</v>
      </c>
      <c r="E222" s="26">
        <f t="shared" si="14"/>
        <v>2901</v>
      </c>
    </row>
    <row r="223" spans="1:5">
      <c r="A223" s="23">
        <v>45929</v>
      </c>
      <c r="B223" s="24" t="s">
        <v>105</v>
      </c>
      <c r="C223" s="24">
        <v>250</v>
      </c>
      <c r="D223" s="35" t="str">
        <f t="shared" si="13"/>
        <v>5.85</v>
      </c>
      <c r="E223" s="26">
        <f t="shared" si="14"/>
        <v>1462</v>
      </c>
    </row>
    <row r="224" spans="1:5">
      <c r="A224" s="23">
        <v>45929</v>
      </c>
      <c r="B224" s="24" t="s">
        <v>118</v>
      </c>
      <c r="C224" s="24">
        <v>260</v>
      </c>
      <c r="D224" s="35" t="str">
        <f t="shared" si="13"/>
        <v>5.85</v>
      </c>
      <c r="E224" s="26">
        <f t="shared" si="14"/>
        <v>1521</v>
      </c>
    </row>
    <row r="225" spans="1:5">
      <c r="A225" s="23">
        <v>45929</v>
      </c>
      <c r="B225" s="24" t="s">
        <v>94</v>
      </c>
      <c r="C225" s="24">
        <v>319.83</v>
      </c>
      <c r="D225" s="35" t="str">
        <f t="shared" si="13"/>
        <v>5.85</v>
      </c>
      <c r="E225" s="26">
        <f t="shared" si="14"/>
        <v>1871</v>
      </c>
    </row>
    <row r="226" spans="1:5">
      <c r="A226" s="23">
        <v>45929</v>
      </c>
      <c r="B226" s="24" t="s">
        <v>95</v>
      </c>
      <c r="C226" s="24">
        <v>200</v>
      </c>
      <c r="D226" s="35" t="str">
        <f t="shared" si="13"/>
        <v>5.85</v>
      </c>
      <c r="E226" s="26">
        <f t="shared" si="14"/>
        <v>1170</v>
      </c>
    </row>
    <row r="227" spans="1:5">
      <c r="A227" s="23">
        <v>45929</v>
      </c>
      <c r="B227" s="24" t="s">
        <v>96</v>
      </c>
      <c r="C227" s="24">
        <v>265</v>
      </c>
      <c r="D227" s="35" t="str">
        <f t="shared" si="13"/>
        <v>5.85</v>
      </c>
      <c r="E227" s="26">
        <f t="shared" si="14"/>
        <v>1550</v>
      </c>
    </row>
    <row r="228" spans="1:5">
      <c r="A228" s="23">
        <v>45929</v>
      </c>
      <c r="B228" s="24" t="s">
        <v>98</v>
      </c>
      <c r="C228" s="24">
        <v>350</v>
      </c>
      <c r="D228" s="35" t="str">
        <f t="shared" si="13"/>
        <v>5.85</v>
      </c>
      <c r="E228" s="26">
        <f t="shared" si="14"/>
        <v>2047</v>
      </c>
    </row>
    <row r="229" spans="1:5">
      <c r="A229" s="23">
        <v>45930</v>
      </c>
      <c r="B229" s="24" t="s">
        <v>107</v>
      </c>
      <c r="C229" s="24">
        <v>200</v>
      </c>
      <c r="D229" s="35" t="str">
        <f t="shared" si="13"/>
        <v>5.85</v>
      </c>
      <c r="E229" s="26">
        <f t="shared" si="14"/>
        <v>1170</v>
      </c>
    </row>
    <row r="230" spans="1:5">
      <c r="A230" s="23">
        <v>45930</v>
      </c>
      <c r="B230" s="24" t="s">
        <v>110</v>
      </c>
      <c r="C230" s="24">
        <v>472.92</v>
      </c>
      <c r="D230" s="35" t="str">
        <f t="shared" si="13"/>
        <v>5.85</v>
      </c>
      <c r="E230" s="26">
        <f t="shared" si="14"/>
        <v>2766</v>
      </c>
    </row>
    <row r="231" spans="1:5">
      <c r="A231" s="23">
        <v>45930</v>
      </c>
      <c r="B231" s="24" t="s">
        <v>108</v>
      </c>
      <c r="C231" s="24">
        <v>107</v>
      </c>
      <c r="D231" s="35" t="str">
        <f t="shared" si="13"/>
        <v>5.95</v>
      </c>
      <c r="E231" s="26">
        <f t="shared" si="14"/>
        <v>636</v>
      </c>
    </row>
    <row r="232" spans="1:5">
      <c r="A232" s="23">
        <v>45930</v>
      </c>
      <c r="B232" s="24" t="s">
        <v>96</v>
      </c>
      <c r="C232" s="24">
        <v>504</v>
      </c>
      <c r="D232" s="35" t="str">
        <f t="shared" si="13"/>
        <v>5.85</v>
      </c>
      <c r="E232" s="26">
        <f t="shared" si="14"/>
        <v>2948</v>
      </c>
    </row>
    <row r="233" spans="1:5">
      <c r="A233" s="23">
        <v>45930</v>
      </c>
      <c r="B233" s="24" t="s">
        <v>98</v>
      </c>
      <c r="C233" s="24">
        <v>586</v>
      </c>
      <c r="D233" s="35" t="str">
        <f t="shared" si="13"/>
        <v>5.85</v>
      </c>
      <c r="E233" s="26">
        <f t="shared" si="14"/>
        <v>3428</v>
      </c>
    </row>
    <row r="234" spans="1:5">
      <c r="A234" s="23">
        <v>45930</v>
      </c>
      <c r="B234" s="24" t="s">
        <v>103</v>
      </c>
      <c r="C234" s="24">
        <v>200</v>
      </c>
      <c r="D234" s="35" t="str">
        <f t="shared" si="13"/>
        <v>5.85</v>
      </c>
      <c r="E234" s="26">
        <f t="shared" si="14"/>
        <v>1170</v>
      </c>
    </row>
    <row r="235" spans="1:5">
      <c r="A235" s="23">
        <v>45930</v>
      </c>
      <c r="B235" s="24" t="s">
        <v>111</v>
      </c>
      <c r="C235" s="24">
        <v>250</v>
      </c>
      <c r="D235" s="35" t="str">
        <f t="shared" ref="D235:D254" si="15">IF(C235&gt;=200,"5.85",IF(C235&lt;200,"5.95"))</f>
        <v>5.85</v>
      </c>
      <c r="E235" s="26">
        <f t="shared" ref="E235:E254" si="16">INT(C235*D235)</f>
        <v>1462</v>
      </c>
    </row>
    <row r="236" spans="1:5">
      <c r="A236" s="23">
        <v>45930</v>
      </c>
      <c r="B236" s="24" t="s">
        <v>106</v>
      </c>
      <c r="C236" s="24">
        <v>376</v>
      </c>
      <c r="D236" s="35" t="str">
        <f t="shared" si="15"/>
        <v>5.85</v>
      </c>
      <c r="E236" s="26">
        <f t="shared" si="16"/>
        <v>2199</v>
      </c>
    </row>
    <row r="237" spans="1:5">
      <c r="A237" s="23">
        <v>45930</v>
      </c>
      <c r="B237" s="24" t="s">
        <v>112</v>
      </c>
      <c r="C237" s="24">
        <v>350</v>
      </c>
      <c r="D237" s="35" t="str">
        <f t="shared" si="15"/>
        <v>5.85</v>
      </c>
      <c r="E237" s="26">
        <f t="shared" si="16"/>
        <v>2047</v>
      </c>
    </row>
    <row r="238" spans="1:5">
      <c r="A238" s="23">
        <v>45930</v>
      </c>
      <c r="B238" s="24" t="s">
        <v>111</v>
      </c>
      <c r="C238" s="24">
        <v>451</v>
      </c>
      <c r="D238" s="35" t="str">
        <f t="shared" si="15"/>
        <v>5.85</v>
      </c>
      <c r="E238" s="26">
        <f t="shared" si="16"/>
        <v>2638</v>
      </c>
    </row>
    <row r="239" spans="1:5">
      <c r="A239" s="23">
        <v>45930</v>
      </c>
      <c r="B239" s="24" t="s">
        <v>91</v>
      </c>
      <c r="C239" s="24">
        <v>400</v>
      </c>
      <c r="D239" s="35" t="str">
        <f t="shared" si="15"/>
        <v>5.85</v>
      </c>
      <c r="E239" s="26">
        <f t="shared" si="16"/>
        <v>2340</v>
      </c>
    </row>
    <row r="240" spans="1:5">
      <c r="A240" s="23">
        <v>45930</v>
      </c>
      <c r="B240" s="24" t="s">
        <v>92</v>
      </c>
      <c r="C240" s="24">
        <v>200</v>
      </c>
      <c r="D240" s="35" t="str">
        <f t="shared" si="15"/>
        <v>5.85</v>
      </c>
      <c r="E240" s="26">
        <f t="shared" si="16"/>
        <v>1170</v>
      </c>
    </row>
    <row r="241" spans="1:5">
      <c r="A241" s="23">
        <v>45930</v>
      </c>
      <c r="B241" s="24" t="s">
        <v>93</v>
      </c>
      <c r="C241" s="24">
        <v>350.43</v>
      </c>
      <c r="D241" s="35" t="str">
        <f t="shared" si="15"/>
        <v>5.85</v>
      </c>
      <c r="E241" s="26">
        <f t="shared" si="16"/>
        <v>2050</v>
      </c>
    </row>
    <row r="242" spans="1:5">
      <c r="A242" s="23">
        <v>45930</v>
      </c>
      <c r="B242" s="24" t="s">
        <v>94</v>
      </c>
      <c r="C242" s="24">
        <v>248</v>
      </c>
      <c r="D242" s="35" t="str">
        <f t="shared" si="15"/>
        <v>5.85</v>
      </c>
      <c r="E242" s="26">
        <f t="shared" si="16"/>
        <v>1450</v>
      </c>
    </row>
    <row r="243" spans="1:5">
      <c r="A243" s="23">
        <v>45930</v>
      </c>
      <c r="B243" s="24" t="s">
        <v>95</v>
      </c>
      <c r="C243" s="24">
        <v>200</v>
      </c>
      <c r="D243" s="35" t="str">
        <f t="shared" si="15"/>
        <v>5.85</v>
      </c>
      <c r="E243" s="26">
        <f t="shared" si="16"/>
        <v>1170</v>
      </c>
    </row>
    <row r="244" spans="1:5">
      <c r="A244" s="23">
        <v>45931</v>
      </c>
      <c r="B244" s="24" t="s">
        <v>112</v>
      </c>
      <c r="C244" s="24">
        <v>439</v>
      </c>
      <c r="D244" s="35" t="str">
        <f t="shared" si="15"/>
        <v>5.85</v>
      </c>
      <c r="E244" s="26">
        <f t="shared" si="16"/>
        <v>2568</v>
      </c>
    </row>
    <row r="245" spans="1:5">
      <c r="A245" s="23">
        <v>45931</v>
      </c>
      <c r="B245" s="24" t="s">
        <v>91</v>
      </c>
      <c r="C245" s="24">
        <v>350</v>
      </c>
      <c r="D245" s="35" t="str">
        <f t="shared" si="15"/>
        <v>5.85</v>
      </c>
      <c r="E245" s="26">
        <f t="shared" si="16"/>
        <v>2047</v>
      </c>
    </row>
    <row r="246" spans="1:5">
      <c r="A246" s="23">
        <v>45931</v>
      </c>
      <c r="B246" s="24" t="s">
        <v>92</v>
      </c>
      <c r="C246" s="24">
        <v>1158</v>
      </c>
      <c r="D246" s="35" t="str">
        <f t="shared" si="15"/>
        <v>5.85</v>
      </c>
      <c r="E246" s="26">
        <f t="shared" si="16"/>
        <v>6774</v>
      </c>
    </row>
    <row r="247" spans="1:5">
      <c r="A247" s="23">
        <v>45931</v>
      </c>
      <c r="B247" s="24" t="s">
        <v>93</v>
      </c>
      <c r="C247" s="24">
        <v>205.54</v>
      </c>
      <c r="D247" s="35" t="str">
        <f t="shared" si="15"/>
        <v>5.85</v>
      </c>
      <c r="E247" s="26">
        <f t="shared" si="16"/>
        <v>1202</v>
      </c>
    </row>
    <row r="248" spans="1:5">
      <c r="A248" s="23">
        <v>45931</v>
      </c>
      <c r="B248" s="24" t="s">
        <v>94</v>
      </c>
      <c r="C248" s="24">
        <v>242</v>
      </c>
      <c r="D248" s="35" t="str">
        <f t="shared" si="15"/>
        <v>5.85</v>
      </c>
      <c r="E248" s="26">
        <f t="shared" si="16"/>
        <v>1415</v>
      </c>
    </row>
    <row r="249" spans="1:5">
      <c r="A249" s="23">
        <v>45931</v>
      </c>
      <c r="B249" s="24" t="s">
        <v>101</v>
      </c>
      <c r="C249" s="24">
        <v>262</v>
      </c>
      <c r="D249" s="35" t="str">
        <f t="shared" si="15"/>
        <v>5.85</v>
      </c>
      <c r="E249" s="26">
        <f t="shared" si="16"/>
        <v>1532</v>
      </c>
    </row>
    <row r="250" spans="1:5">
      <c r="A250" s="23">
        <v>45931</v>
      </c>
      <c r="B250" s="24" t="s">
        <v>102</v>
      </c>
      <c r="C250" s="24">
        <v>320</v>
      </c>
      <c r="D250" s="35" t="str">
        <f t="shared" si="15"/>
        <v>5.85</v>
      </c>
      <c r="E250" s="26">
        <f t="shared" si="16"/>
        <v>1872</v>
      </c>
    </row>
    <row r="251" spans="1:5">
      <c r="A251" s="23">
        <v>45931</v>
      </c>
      <c r="B251" s="24" t="s">
        <v>111</v>
      </c>
      <c r="C251" s="24">
        <v>282.93</v>
      </c>
      <c r="D251" s="35" t="str">
        <f t="shared" si="15"/>
        <v>5.85</v>
      </c>
      <c r="E251" s="26">
        <f t="shared" si="16"/>
        <v>1655</v>
      </c>
    </row>
    <row r="252" spans="1:5">
      <c r="A252" s="23">
        <v>45931</v>
      </c>
      <c r="B252" s="24" t="s">
        <v>100</v>
      </c>
      <c r="C252" s="24">
        <v>499.54</v>
      </c>
      <c r="D252" s="35" t="str">
        <f t="shared" si="15"/>
        <v>5.85</v>
      </c>
      <c r="E252" s="26">
        <f t="shared" si="16"/>
        <v>2922</v>
      </c>
    </row>
    <row r="253" spans="1:5">
      <c r="A253" s="23">
        <v>45931</v>
      </c>
      <c r="B253" s="24" t="s">
        <v>113</v>
      </c>
      <c r="C253" s="24">
        <v>205</v>
      </c>
      <c r="D253" s="35" t="str">
        <f t="shared" si="15"/>
        <v>5.85</v>
      </c>
      <c r="E253" s="26">
        <f t="shared" si="16"/>
        <v>1199</v>
      </c>
    </row>
    <row r="254" spans="1:5">
      <c r="A254" s="23">
        <v>45931</v>
      </c>
      <c r="B254" s="24" t="s">
        <v>95</v>
      </c>
      <c r="C254" s="24">
        <v>300</v>
      </c>
      <c r="D254" s="35" t="str">
        <f t="shared" si="15"/>
        <v>5.85</v>
      </c>
      <c r="E254" s="26">
        <f t="shared" si="16"/>
        <v>1755</v>
      </c>
    </row>
    <row r="255" spans="5:5">
      <c r="E255" s="36">
        <f>SUM(E203:E254)</f>
        <v>102211</v>
      </c>
    </row>
  </sheetData>
  <sortState ref="A12:G97">
    <sortCondition ref="A97"/>
  </sortState>
  <mergeCells count="1">
    <mergeCell ref="B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"/>
  <sheetViews>
    <sheetView workbookViewId="0">
      <selection activeCell="A1" sqref="A1"/>
    </sheetView>
  </sheetViews>
  <sheetFormatPr defaultColWidth="9" defaultRowHeight="14.25"/>
  <cols>
    <col min="1" max="1" width="10.6" customWidth="1"/>
    <col min="2" max="2" width="12.4666666666667" customWidth="1"/>
  </cols>
  <sheetData>
    <row r="1" ht="37.5" spans="1:10">
      <c r="A1" s="4" t="s">
        <v>0</v>
      </c>
      <c r="B1" s="5" t="s">
        <v>124</v>
      </c>
      <c r="C1" s="6"/>
      <c r="D1" s="7"/>
      <c r="E1" s="8"/>
      <c r="F1" s="9" t="s">
        <v>125</v>
      </c>
      <c r="G1" s="29"/>
      <c r="H1" s="10"/>
      <c r="I1" s="10"/>
      <c r="J1" s="1" t="s">
        <v>3</v>
      </c>
    </row>
    <row r="2" spans="1:10">
      <c r="A2" s="30" t="s">
        <v>126</v>
      </c>
      <c r="B2" s="11" t="s">
        <v>127</v>
      </c>
      <c r="C2" s="31" t="s">
        <v>128</v>
      </c>
      <c r="D2" s="11" t="s">
        <v>129</v>
      </c>
      <c r="E2" s="11" t="s">
        <v>130</v>
      </c>
      <c r="F2" s="10"/>
      <c r="G2" s="12"/>
      <c r="H2" s="10"/>
      <c r="I2" s="10"/>
      <c r="J2" s="10" t="str" cm="1">
        <f t="array" ref="J2:J41">_xlfn.TOCOL(A2:E9)</f>
        <v>粤F26870</v>
      </c>
    </row>
    <row r="3" spans="1:10">
      <c r="A3" s="12" t="s">
        <v>131</v>
      </c>
      <c r="B3" s="12" t="s">
        <v>132</v>
      </c>
      <c r="C3" s="12" t="s">
        <v>133</v>
      </c>
      <c r="D3" s="14" t="s">
        <v>134</v>
      </c>
      <c r="E3" s="14" t="s">
        <v>135</v>
      </c>
      <c r="F3" s="14"/>
      <c r="G3" s="14"/>
      <c r="H3" s="10"/>
      <c r="I3" s="10"/>
      <c r="J3" s="10" t="str">
        <v>粤F52372</v>
      </c>
    </row>
    <row r="4" spans="1:10">
      <c r="A4" s="15" t="s">
        <v>136</v>
      </c>
      <c r="B4" s="10" t="s">
        <v>137</v>
      </c>
      <c r="C4" s="14" t="s">
        <v>138</v>
      </c>
      <c r="D4" s="16" t="s">
        <v>139</v>
      </c>
      <c r="E4" s="14" t="s">
        <v>140</v>
      </c>
      <c r="F4" s="14"/>
      <c r="G4" s="14"/>
      <c r="H4" s="10"/>
      <c r="I4" s="10"/>
      <c r="J4" s="10" t="str">
        <v>粤VQ3746</v>
      </c>
    </row>
    <row r="5" spans="1:10">
      <c r="A5" s="15" t="s">
        <v>141</v>
      </c>
      <c r="B5" s="14" t="s">
        <v>142</v>
      </c>
      <c r="C5" s="16" t="s">
        <v>143</v>
      </c>
      <c r="D5" s="14"/>
      <c r="E5" s="14"/>
      <c r="F5" s="14"/>
      <c r="G5" s="14"/>
      <c r="H5" s="10"/>
      <c r="I5" s="10"/>
      <c r="J5" s="10" t="str">
        <v>粤F61893</v>
      </c>
    </row>
    <row r="6" spans="1:10">
      <c r="A6" s="10" t="s">
        <v>144</v>
      </c>
      <c r="B6" s="10" t="s">
        <v>145</v>
      </c>
      <c r="C6" s="31" t="s">
        <v>146</v>
      </c>
      <c r="D6" s="11" t="s">
        <v>147</v>
      </c>
      <c r="E6" s="11" t="s">
        <v>148</v>
      </c>
      <c r="F6" s="14"/>
      <c r="G6" s="14"/>
      <c r="H6" s="10"/>
      <c r="I6" s="10"/>
      <c r="J6" s="10" t="str">
        <v>粤R46045</v>
      </c>
    </row>
    <row r="7" spans="1:10">
      <c r="A7" s="15" t="s">
        <v>149</v>
      </c>
      <c r="B7" s="14" t="s">
        <v>150</v>
      </c>
      <c r="C7" s="16" t="s">
        <v>151</v>
      </c>
      <c r="D7" s="14" t="s">
        <v>152</v>
      </c>
      <c r="E7" s="14"/>
      <c r="F7" s="14"/>
      <c r="G7" s="14"/>
      <c r="H7" s="10"/>
      <c r="I7" s="10"/>
      <c r="J7" s="10" t="str">
        <v>粤AFR982</v>
      </c>
    </row>
    <row r="8" spans="1:10">
      <c r="A8" s="13" t="s">
        <v>153</v>
      </c>
      <c r="B8" s="12" t="s">
        <v>154</v>
      </c>
      <c r="C8" s="12" t="s">
        <v>155</v>
      </c>
      <c r="D8" s="14" t="s">
        <v>156</v>
      </c>
      <c r="E8" s="14" t="s">
        <v>157</v>
      </c>
      <c r="F8" s="14"/>
      <c r="G8" s="14"/>
      <c r="H8" s="10"/>
      <c r="I8" s="10"/>
      <c r="J8" s="10" t="str">
        <v>冀FFY92挂</v>
      </c>
    </row>
    <row r="9" spans="1:10">
      <c r="A9" s="17" t="s">
        <v>158</v>
      </c>
      <c r="B9" s="18" t="s">
        <v>159</v>
      </c>
      <c r="C9" s="16"/>
      <c r="D9" s="14"/>
      <c r="E9" s="14"/>
      <c r="F9" s="14"/>
      <c r="G9" s="14"/>
      <c r="H9" s="10"/>
      <c r="I9" s="10"/>
      <c r="J9" s="10" t="str">
        <v>粤F08811</v>
      </c>
    </row>
    <row r="10" spans="1:10">
      <c r="A10" s="10"/>
      <c r="B10" s="10"/>
      <c r="C10" s="10"/>
      <c r="D10" s="10"/>
      <c r="E10" s="10"/>
      <c r="F10" s="10"/>
      <c r="G10" s="10"/>
      <c r="H10" s="10"/>
      <c r="I10" s="10"/>
      <c r="J10" s="10" t="str">
        <v>粤AHY639</v>
      </c>
    </row>
    <row r="11" spans="1:10">
      <c r="A11" s="20" t="s">
        <v>28</v>
      </c>
      <c r="B11" s="21" t="s">
        <v>29</v>
      </c>
      <c r="C11" s="22" t="s">
        <v>30</v>
      </c>
      <c r="D11" s="21" t="s">
        <v>31</v>
      </c>
      <c r="E11" s="21" t="s">
        <v>32</v>
      </c>
      <c r="F11" s="21" t="s">
        <v>33</v>
      </c>
      <c r="G11" s="21" t="s">
        <v>34</v>
      </c>
      <c r="H11" s="10"/>
      <c r="I11" s="10"/>
      <c r="J11" s="10" t="str">
        <v>豫N16B6V</v>
      </c>
    </row>
    <row r="12" spans="1:10">
      <c r="A12" s="23">
        <v>45923</v>
      </c>
      <c r="B12" s="24" t="s">
        <v>160</v>
      </c>
      <c r="C12" s="24">
        <v>273.67</v>
      </c>
      <c r="D12" s="25" t="str">
        <f t="shared" ref="D12" si="0">IF(C12&gt;=200,"5.8",IF(C12&lt;200,"6"))</f>
        <v>5.8</v>
      </c>
      <c r="E12" s="25">
        <f t="shared" ref="E12" si="1">INT(C12*D12)</f>
        <v>1587</v>
      </c>
      <c r="F12" s="26"/>
      <c r="G12" s="26"/>
      <c r="J12" t="str">
        <v>粤A3G2D6</v>
      </c>
    </row>
    <row r="13" spans="1:10">
      <c r="A13" s="23">
        <v>45923</v>
      </c>
      <c r="B13" s="24" t="s">
        <v>161</v>
      </c>
      <c r="C13" s="24">
        <v>220</v>
      </c>
      <c r="D13" s="25" t="str">
        <f t="shared" ref="D13:D44" si="2">IF(C13&gt;=200,"5.8",IF(C13&lt;200,"6"))</f>
        <v>5.8</v>
      </c>
      <c r="E13" s="25">
        <f t="shared" ref="E13:E44" si="3">INT(C13*D13)</f>
        <v>1276</v>
      </c>
      <c r="F13" s="26"/>
      <c r="G13" s="26"/>
      <c r="J13" t="str">
        <v>粤ADQ360</v>
      </c>
    </row>
    <row r="14" spans="1:10">
      <c r="A14" s="23">
        <v>45923</v>
      </c>
      <c r="B14" s="24" t="s">
        <v>162</v>
      </c>
      <c r="C14" s="24">
        <v>366</v>
      </c>
      <c r="D14" s="25" t="str">
        <f t="shared" si="2"/>
        <v>5.8</v>
      </c>
      <c r="E14" s="25">
        <f t="shared" si="3"/>
        <v>2122</v>
      </c>
      <c r="F14" s="26"/>
      <c r="G14" s="26"/>
      <c r="J14" t="str">
        <v>豫FC8961</v>
      </c>
    </row>
    <row r="15" spans="1:10">
      <c r="A15" s="23">
        <v>45923</v>
      </c>
      <c r="B15" s="24" t="s">
        <v>163</v>
      </c>
      <c r="C15" s="24">
        <v>207.67</v>
      </c>
      <c r="D15" s="25" t="str">
        <f t="shared" si="2"/>
        <v>5.8</v>
      </c>
      <c r="E15" s="25">
        <f t="shared" si="3"/>
        <v>1204</v>
      </c>
      <c r="F15" s="26"/>
      <c r="G15" s="26"/>
      <c r="J15" t="str">
        <v>粤AHG252</v>
      </c>
    </row>
    <row r="16" spans="1:10">
      <c r="A16" s="23">
        <v>45923</v>
      </c>
      <c r="B16" s="24" t="s">
        <v>164</v>
      </c>
      <c r="C16" s="24">
        <v>278</v>
      </c>
      <c r="D16" s="25" t="str">
        <f t="shared" si="2"/>
        <v>5.8</v>
      </c>
      <c r="E16" s="25">
        <f t="shared" si="3"/>
        <v>1612</v>
      </c>
      <c r="F16" s="26"/>
      <c r="G16" s="26"/>
      <c r="J16" t="str">
        <v>粤AHH556</v>
      </c>
    </row>
    <row r="17" spans="1:10">
      <c r="A17" s="23">
        <v>45923</v>
      </c>
      <c r="B17" s="24" t="s">
        <v>165</v>
      </c>
      <c r="C17" s="24">
        <v>245.05</v>
      </c>
      <c r="D17" s="25" t="str">
        <f t="shared" si="2"/>
        <v>5.8</v>
      </c>
      <c r="E17" s="25">
        <f t="shared" si="3"/>
        <v>1421</v>
      </c>
      <c r="F17" s="26"/>
      <c r="G17" s="26"/>
      <c r="J17" t="str">
        <v>冀ES3585</v>
      </c>
    </row>
    <row r="18" spans="1:10">
      <c r="A18" s="23">
        <v>45923</v>
      </c>
      <c r="B18" s="24" t="s">
        <v>166</v>
      </c>
      <c r="C18" s="24">
        <v>573</v>
      </c>
      <c r="D18" s="25" t="str">
        <f t="shared" si="2"/>
        <v>5.8</v>
      </c>
      <c r="E18" s="25">
        <f t="shared" si="3"/>
        <v>3323</v>
      </c>
      <c r="F18" s="26"/>
      <c r="G18" s="26"/>
      <c r="J18" t="str">
        <v>冀E64FV挂</v>
      </c>
    </row>
    <row r="19" spans="1:10">
      <c r="A19" s="23">
        <v>45923</v>
      </c>
      <c r="B19" s="24" t="s">
        <v>167</v>
      </c>
      <c r="C19" s="24">
        <v>235</v>
      </c>
      <c r="D19" s="25" t="str">
        <f t="shared" si="2"/>
        <v>5.8</v>
      </c>
      <c r="E19" s="25">
        <f t="shared" si="3"/>
        <v>1363</v>
      </c>
      <c r="F19" s="26"/>
      <c r="G19" s="26"/>
      <c r="J19" t="str">
        <v>冀EV9230</v>
      </c>
    </row>
    <row r="20" spans="1:10">
      <c r="A20" s="23">
        <v>45923</v>
      </c>
      <c r="B20" s="24" t="s">
        <v>168</v>
      </c>
      <c r="C20" s="24">
        <v>116.62</v>
      </c>
      <c r="D20" s="25" t="str">
        <f t="shared" si="2"/>
        <v>6</v>
      </c>
      <c r="E20" s="25">
        <f t="shared" si="3"/>
        <v>699</v>
      </c>
      <c r="F20" s="26"/>
      <c r="G20" s="26"/>
      <c r="J20">
        <v>0</v>
      </c>
    </row>
    <row r="21" spans="1:10">
      <c r="A21" s="23">
        <v>45923</v>
      </c>
      <c r="B21" s="24" t="s">
        <v>169</v>
      </c>
      <c r="C21" s="24">
        <v>272.63</v>
      </c>
      <c r="D21" s="25">
        <v>5.75</v>
      </c>
      <c r="E21" s="25">
        <f t="shared" si="3"/>
        <v>1567</v>
      </c>
      <c r="F21" s="26"/>
      <c r="G21" s="26" t="s">
        <v>170</v>
      </c>
      <c r="J21">
        <v>0</v>
      </c>
    </row>
    <row r="22" spans="1:10">
      <c r="A22" s="23">
        <v>45923</v>
      </c>
      <c r="B22" s="24" t="s">
        <v>171</v>
      </c>
      <c r="C22" s="24">
        <v>200</v>
      </c>
      <c r="D22" s="25" t="str">
        <f t="shared" si="2"/>
        <v>5.8</v>
      </c>
      <c r="E22" s="25">
        <f t="shared" si="3"/>
        <v>1160</v>
      </c>
      <c r="F22" s="26"/>
      <c r="G22" s="26"/>
      <c r="J22" t="str">
        <v>赣K90906</v>
      </c>
    </row>
    <row r="23" spans="1:10">
      <c r="A23" s="23">
        <v>45923</v>
      </c>
      <c r="B23" s="24" t="s">
        <v>172</v>
      </c>
      <c r="C23" s="24">
        <v>300</v>
      </c>
      <c r="D23" s="25" t="str">
        <f t="shared" si="2"/>
        <v>5.8</v>
      </c>
      <c r="E23" s="25">
        <f t="shared" si="3"/>
        <v>1740</v>
      </c>
      <c r="F23" s="26"/>
      <c r="G23" s="26"/>
      <c r="J23" t="str">
        <v>赣CDA853</v>
      </c>
    </row>
    <row r="24" spans="1:10">
      <c r="A24" s="23">
        <v>45923</v>
      </c>
      <c r="B24" s="24" t="s">
        <v>173</v>
      </c>
      <c r="C24" s="24">
        <v>352.3</v>
      </c>
      <c r="D24" s="25" t="str">
        <f t="shared" si="2"/>
        <v>5.8</v>
      </c>
      <c r="E24" s="25">
        <f t="shared" si="3"/>
        <v>2043</v>
      </c>
      <c r="F24" s="26"/>
      <c r="G24" s="26"/>
      <c r="J24" t="str">
        <v>豫FB6036</v>
      </c>
    </row>
    <row r="25" spans="1:10">
      <c r="A25" s="23">
        <v>45924</v>
      </c>
      <c r="B25" s="24" t="s">
        <v>165</v>
      </c>
      <c r="C25" s="24">
        <v>315</v>
      </c>
      <c r="D25" s="25" t="str">
        <f t="shared" si="2"/>
        <v>5.8</v>
      </c>
      <c r="E25" s="25">
        <f t="shared" si="3"/>
        <v>1827</v>
      </c>
      <c r="F25" s="26"/>
      <c r="G25" s="26"/>
      <c r="J25" t="str">
        <v>豫FA218挂</v>
      </c>
    </row>
    <row r="26" spans="1:10">
      <c r="A26" s="23">
        <v>45924</v>
      </c>
      <c r="B26" s="24" t="s">
        <v>173</v>
      </c>
      <c r="C26" s="24">
        <v>291.71</v>
      </c>
      <c r="D26" s="25" t="str">
        <f t="shared" si="2"/>
        <v>5.8</v>
      </c>
      <c r="E26" s="25">
        <f t="shared" si="3"/>
        <v>1691</v>
      </c>
      <c r="F26" s="26"/>
      <c r="G26" s="26"/>
      <c r="J26" t="str">
        <v>豫FB5335</v>
      </c>
    </row>
    <row r="27" spans="1:10">
      <c r="A27" s="23">
        <v>45924</v>
      </c>
      <c r="B27" s="24" t="s">
        <v>173</v>
      </c>
      <c r="C27" s="24">
        <v>261</v>
      </c>
      <c r="D27" s="25" t="str">
        <f t="shared" si="2"/>
        <v>5.8</v>
      </c>
      <c r="E27" s="25">
        <f t="shared" si="3"/>
        <v>1513</v>
      </c>
      <c r="F27" s="26"/>
      <c r="G27" s="26"/>
      <c r="J27" t="str">
        <v>冀A331A4</v>
      </c>
    </row>
    <row r="28" spans="1:10">
      <c r="A28" s="23">
        <v>45925</v>
      </c>
      <c r="B28" s="24" t="s">
        <v>174</v>
      </c>
      <c r="C28" s="24">
        <v>112</v>
      </c>
      <c r="D28" s="25" t="str">
        <f t="shared" si="2"/>
        <v>6</v>
      </c>
      <c r="E28" s="25">
        <f t="shared" si="3"/>
        <v>672</v>
      </c>
      <c r="F28" s="26"/>
      <c r="G28" s="26"/>
      <c r="J28" t="str">
        <v>冀A27HC挂</v>
      </c>
    </row>
    <row r="29" spans="1:10">
      <c r="A29" s="23">
        <v>45925</v>
      </c>
      <c r="B29" s="24" t="s">
        <v>175</v>
      </c>
      <c r="C29" s="24">
        <v>335</v>
      </c>
      <c r="D29" s="25" t="str">
        <f t="shared" si="2"/>
        <v>5.8</v>
      </c>
      <c r="E29" s="25">
        <f t="shared" si="3"/>
        <v>1943</v>
      </c>
      <c r="F29" s="26"/>
      <c r="G29" s="26"/>
      <c r="J29" t="str">
        <v>冀A06V5挂</v>
      </c>
    </row>
    <row r="30" spans="1:10">
      <c r="A30" s="23">
        <v>45925</v>
      </c>
      <c r="B30" s="24" t="s">
        <v>161</v>
      </c>
      <c r="C30" s="24">
        <v>276.36</v>
      </c>
      <c r="D30" s="25" t="str">
        <f t="shared" si="2"/>
        <v>5.8</v>
      </c>
      <c r="E30" s="25">
        <f t="shared" si="3"/>
        <v>1602</v>
      </c>
      <c r="F30" s="26"/>
      <c r="G30" s="26"/>
      <c r="J30" t="str">
        <v>冀A98YV挂</v>
      </c>
    </row>
    <row r="31" spans="1:10">
      <c r="A31" s="23">
        <v>45925</v>
      </c>
      <c r="B31" s="24" t="s">
        <v>163</v>
      </c>
      <c r="C31" s="24">
        <v>300</v>
      </c>
      <c r="D31" s="25" t="str">
        <f t="shared" si="2"/>
        <v>5.8</v>
      </c>
      <c r="E31" s="25">
        <f t="shared" si="3"/>
        <v>1740</v>
      </c>
      <c r="F31" s="26"/>
      <c r="G31" s="26"/>
      <c r="J31">
        <v>0</v>
      </c>
    </row>
    <row r="32" spans="1:10">
      <c r="A32" s="23">
        <v>45925</v>
      </c>
      <c r="B32" s="24" t="s">
        <v>168</v>
      </c>
      <c r="C32" s="24">
        <v>319.49</v>
      </c>
      <c r="D32" s="25" t="str">
        <f t="shared" si="2"/>
        <v>5.8</v>
      </c>
      <c r="E32" s="25">
        <f t="shared" si="3"/>
        <v>1853</v>
      </c>
      <c r="F32" s="26"/>
      <c r="G32" s="26"/>
      <c r="J32" t="str">
        <v>豫AB33907</v>
      </c>
    </row>
    <row r="33" spans="1:10">
      <c r="A33" s="23">
        <v>45925</v>
      </c>
      <c r="B33" s="24" t="s">
        <v>169</v>
      </c>
      <c r="C33" s="24">
        <v>414.06</v>
      </c>
      <c r="D33" s="25" t="str">
        <f t="shared" si="2"/>
        <v>5.8</v>
      </c>
      <c r="E33" s="25">
        <f t="shared" si="3"/>
        <v>2401</v>
      </c>
      <c r="F33" s="26"/>
      <c r="G33" s="26"/>
      <c r="J33" t="str">
        <v>渝DN2865</v>
      </c>
    </row>
    <row r="34" spans="1:10">
      <c r="A34" s="23">
        <v>45925</v>
      </c>
      <c r="B34" s="24" t="s">
        <v>171</v>
      </c>
      <c r="C34" s="24">
        <v>240.6</v>
      </c>
      <c r="D34" s="25" t="str">
        <f t="shared" si="2"/>
        <v>5.8</v>
      </c>
      <c r="E34" s="25">
        <f t="shared" si="3"/>
        <v>1395</v>
      </c>
      <c r="F34" s="26"/>
      <c r="G34" s="26"/>
      <c r="J34" t="str">
        <v>冀J6N153</v>
      </c>
    </row>
    <row r="35" spans="1:10">
      <c r="A35" s="23">
        <v>45925</v>
      </c>
      <c r="B35" s="24" t="s">
        <v>176</v>
      </c>
      <c r="C35" s="24">
        <v>300</v>
      </c>
      <c r="D35" s="25" t="str">
        <f t="shared" si="2"/>
        <v>5.8</v>
      </c>
      <c r="E35" s="25">
        <f t="shared" si="3"/>
        <v>1740</v>
      </c>
      <c r="F35" s="26"/>
      <c r="G35" s="26"/>
      <c r="J35" t="str">
        <v>冀HA5821</v>
      </c>
    </row>
    <row r="36" spans="1:10">
      <c r="A36" s="23">
        <v>45925</v>
      </c>
      <c r="B36" s="24" t="s">
        <v>172</v>
      </c>
      <c r="C36" s="24">
        <v>271.87</v>
      </c>
      <c r="D36" s="25" t="str">
        <f t="shared" si="2"/>
        <v>5.8</v>
      </c>
      <c r="E36" s="25">
        <f t="shared" si="3"/>
        <v>1576</v>
      </c>
      <c r="F36" s="26"/>
      <c r="G36" s="26"/>
      <c r="J36" t="str">
        <v>冀FT0215</v>
      </c>
    </row>
    <row r="37" spans="1:10">
      <c r="A37" s="23">
        <v>45925</v>
      </c>
      <c r="B37" s="24" t="s">
        <v>177</v>
      </c>
      <c r="C37" s="24">
        <v>300</v>
      </c>
      <c r="D37" s="25" t="str">
        <f t="shared" si="2"/>
        <v>5.8</v>
      </c>
      <c r="E37" s="25">
        <f t="shared" si="3"/>
        <v>1740</v>
      </c>
      <c r="F37" s="26"/>
      <c r="G37" s="26"/>
      <c r="J37" t="str">
        <v>赣C2287J</v>
      </c>
    </row>
    <row r="38" spans="1:10">
      <c r="A38" s="23">
        <v>45925</v>
      </c>
      <c r="B38" s="24" t="s">
        <v>178</v>
      </c>
      <c r="C38" s="24">
        <v>159.75</v>
      </c>
      <c r="D38" s="25" t="str">
        <f t="shared" si="2"/>
        <v>6</v>
      </c>
      <c r="E38" s="25">
        <f t="shared" si="3"/>
        <v>958</v>
      </c>
      <c r="F38" s="26"/>
      <c r="G38" s="26"/>
      <c r="J38" t="str">
        <v>赣C2117J</v>
      </c>
    </row>
    <row r="39" spans="1:10">
      <c r="A39" s="23">
        <v>45925</v>
      </c>
      <c r="B39" s="24" t="s">
        <v>179</v>
      </c>
      <c r="C39" s="24">
        <v>200</v>
      </c>
      <c r="D39" s="25" t="str">
        <f t="shared" si="2"/>
        <v>5.8</v>
      </c>
      <c r="E39" s="25">
        <f t="shared" si="3"/>
        <v>1160</v>
      </c>
      <c r="F39" s="26"/>
      <c r="G39" s="26"/>
      <c r="J39">
        <v>0</v>
      </c>
    </row>
    <row r="40" spans="1:10">
      <c r="A40" s="23">
        <v>45925</v>
      </c>
      <c r="B40" s="24" t="s">
        <v>180</v>
      </c>
      <c r="C40" s="24">
        <v>200</v>
      </c>
      <c r="D40" s="25" t="str">
        <f t="shared" si="2"/>
        <v>5.8</v>
      </c>
      <c r="E40" s="25">
        <f t="shared" si="3"/>
        <v>1160</v>
      </c>
      <c r="F40" s="26"/>
      <c r="G40" s="26"/>
      <c r="J40">
        <v>0</v>
      </c>
    </row>
    <row r="41" spans="1:10">
      <c r="A41" s="23">
        <v>45925</v>
      </c>
      <c r="B41" s="24" t="s">
        <v>181</v>
      </c>
      <c r="C41" s="24">
        <v>205.19</v>
      </c>
      <c r="D41" s="25" t="str">
        <f t="shared" si="2"/>
        <v>5.8</v>
      </c>
      <c r="E41" s="25">
        <f t="shared" si="3"/>
        <v>1190</v>
      </c>
      <c r="F41" s="26"/>
      <c r="G41" s="26"/>
      <c r="J41">
        <v>0</v>
      </c>
    </row>
    <row r="42" spans="1:7">
      <c r="A42" s="23">
        <v>45925</v>
      </c>
      <c r="B42" s="24" t="s">
        <v>166</v>
      </c>
      <c r="C42" s="24">
        <v>326</v>
      </c>
      <c r="D42" s="25" t="str">
        <f t="shared" si="2"/>
        <v>5.8</v>
      </c>
      <c r="E42" s="25">
        <f t="shared" si="3"/>
        <v>1890</v>
      </c>
      <c r="F42" s="26"/>
      <c r="G42" s="26"/>
    </row>
    <row r="43" spans="1:7">
      <c r="A43" s="23">
        <v>45925</v>
      </c>
      <c r="B43" s="24" t="s">
        <v>182</v>
      </c>
      <c r="C43" s="24">
        <v>234.03</v>
      </c>
      <c r="D43" s="25" t="str">
        <f t="shared" si="2"/>
        <v>5.8</v>
      </c>
      <c r="E43" s="25">
        <f t="shared" si="3"/>
        <v>1357</v>
      </c>
      <c r="F43" s="26"/>
      <c r="G43" s="26"/>
    </row>
    <row r="44" spans="1:7">
      <c r="A44" s="23">
        <v>45925</v>
      </c>
      <c r="B44" s="24" t="s">
        <v>167</v>
      </c>
      <c r="C44" s="24">
        <v>260.62</v>
      </c>
      <c r="D44" s="25" t="str">
        <f t="shared" si="2"/>
        <v>5.8</v>
      </c>
      <c r="E44" s="25">
        <f t="shared" si="3"/>
        <v>1511</v>
      </c>
      <c r="F44" s="26"/>
      <c r="G44" s="26"/>
    </row>
    <row r="45" spans="1:7">
      <c r="A45" s="23">
        <v>45925</v>
      </c>
      <c r="B45" s="24" t="s">
        <v>183</v>
      </c>
      <c r="C45" s="24">
        <v>304</v>
      </c>
      <c r="D45" s="25" t="str">
        <f t="shared" ref="D45:D65" si="4">IF(C45&gt;=200,"5.8",IF(C45&lt;200,"6"))</f>
        <v>5.8</v>
      </c>
      <c r="E45" s="25">
        <f t="shared" ref="E45:E64" si="5">INT(C45*D45)</f>
        <v>1763</v>
      </c>
      <c r="F45" s="26"/>
      <c r="G45" s="26"/>
    </row>
    <row r="46" spans="1:7">
      <c r="A46" s="23">
        <v>45925</v>
      </c>
      <c r="B46" s="24" t="s">
        <v>173</v>
      </c>
      <c r="C46" s="24">
        <v>200</v>
      </c>
      <c r="D46" s="25" t="str">
        <f t="shared" si="4"/>
        <v>5.8</v>
      </c>
      <c r="E46" s="25">
        <f t="shared" si="5"/>
        <v>1160</v>
      </c>
      <c r="F46" s="26"/>
      <c r="G46" s="26"/>
    </row>
    <row r="47" spans="1:7">
      <c r="A47" s="23">
        <v>45925</v>
      </c>
      <c r="B47" s="24" t="s">
        <v>184</v>
      </c>
      <c r="C47" s="24">
        <v>207.67</v>
      </c>
      <c r="D47" s="25" t="str">
        <f t="shared" si="4"/>
        <v>5.8</v>
      </c>
      <c r="E47" s="25">
        <f t="shared" si="5"/>
        <v>1204</v>
      </c>
      <c r="F47" s="26"/>
      <c r="G47" s="26"/>
    </row>
    <row r="48" spans="1:7">
      <c r="A48" s="23">
        <v>45925</v>
      </c>
      <c r="B48" s="24" t="s">
        <v>185</v>
      </c>
      <c r="C48" s="24">
        <v>141.47</v>
      </c>
      <c r="D48" s="25" t="str">
        <f t="shared" si="4"/>
        <v>6</v>
      </c>
      <c r="E48" s="25">
        <f t="shared" si="5"/>
        <v>848</v>
      </c>
      <c r="F48" s="26"/>
      <c r="G48" s="26"/>
    </row>
    <row r="49" spans="1:7">
      <c r="A49" s="23">
        <v>45925</v>
      </c>
      <c r="B49" s="24" t="s">
        <v>186</v>
      </c>
      <c r="C49" s="24">
        <v>131</v>
      </c>
      <c r="D49" s="25" t="str">
        <f t="shared" si="4"/>
        <v>6</v>
      </c>
      <c r="E49" s="25">
        <f t="shared" si="5"/>
        <v>786</v>
      </c>
      <c r="F49" s="26"/>
      <c r="G49" s="26"/>
    </row>
    <row r="50" spans="1:7">
      <c r="A50" s="23">
        <v>45925</v>
      </c>
      <c r="B50" s="24" t="s">
        <v>187</v>
      </c>
      <c r="C50" s="24">
        <v>224.13</v>
      </c>
      <c r="D50" s="25" t="str">
        <f t="shared" si="4"/>
        <v>5.8</v>
      </c>
      <c r="E50" s="25">
        <f t="shared" si="5"/>
        <v>1299</v>
      </c>
      <c r="F50" s="26"/>
      <c r="G50" s="26"/>
    </row>
    <row r="51" spans="1:7">
      <c r="A51" s="23">
        <v>45925</v>
      </c>
      <c r="B51" s="24" t="s">
        <v>188</v>
      </c>
      <c r="C51" s="24">
        <v>400</v>
      </c>
      <c r="D51" s="25" t="str">
        <f t="shared" si="4"/>
        <v>5.8</v>
      </c>
      <c r="E51" s="25">
        <f t="shared" si="5"/>
        <v>2320</v>
      </c>
      <c r="F51" s="26"/>
      <c r="G51" s="26"/>
    </row>
    <row r="52" spans="1:7">
      <c r="A52" s="23">
        <v>45925</v>
      </c>
      <c r="B52" s="24" t="s">
        <v>174</v>
      </c>
      <c r="C52" s="24">
        <v>200</v>
      </c>
      <c r="D52" s="25" t="str">
        <f t="shared" si="4"/>
        <v>5.8</v>
      </c>
      <c r="E52" s="25">
        <f t="shared" si="5"/>
        <v>1160</v>
      </c>
      <c r="F52" s="26"/>
      <c r="G52" s="26"/>
    </row>
    <row r="53" spans="1:7">
      <c r="A53" s="23">
        <v>45925</v>
      </c>
      <c r="B53" s="24" t="s">
        <v>161</v>
      </c>
      <c r="C53" s="24">
        <v>200</v>
      </c>
      <c r="D53" s="25" t="str">
        <f t="shared" si="4"/>
        <v>5.8</v>
      </c>
      <c r="E53" s="25">
        <f t="shared" si="5"/>
        <v>1160</v>
      </c>
      <c r="F53" s="26"/>
      <c r="G53" s="26"/>
    </row>
    <row r="54" spans="1:7">
      <c r="A54" s="23">
        <v>45925</v>
      </c>
      <c r="B54" s="24" t="s">
        <v>163</v>
      </c>
      <c r="C54" s="24">
        <v>303.52</v>
      </c>
      <c r="D54" s="25" t="str">
        <f t="shared" si="4"/>
        <v>5.8</v>
      </c>
      <c r="E54" s="25">
        <f t="shared" si="5"/>
        <v>1760</v>
      </c>
      <c r="F54" s="26"/>
      <c r="G54" s="26"/>
    </row>
    <row r="55" spans="1:7">
      <c r="A55" s="23">
        <v>45925</v>
      </c>
      <c r="B55" s="24" t="s">
        <v>168</v>
      </c>
      <c r="C55" s="24">
        <v>500</v>
      </c>
      <c r="D55" s="25" t="str">
        <f t="shared" si="4"/>
        <v>5.8</v>
      </c>
      <c r="E55" s="25">
        <f t="shared" si="5"/>
        <v>2900</v>
      </c>
      <c r="F55" s="26"/>
      <c r="G55" s="26"/>
    </row>
    <row r="56" spans="1:7">
      <c r="A56" s="23">
        <v>45925</v>
      </c>
      <c r="B56" s="24" t="s">
        <v>169</v>
      </c>
      <c r="C56" s="24">
        <v>200</v>
      </c>
      <c r="D56" s="25" t="str">
        <f t="shared" si="4"/>
        <v>5.8</v>
      </c>
      <c r="E56" s="25">
        <f t="shared" si="5"/>
        <v>1160</v>
      </c>
      <c r="F56" s="26"/>
      <c r="G56" s="26"/>
    </row>
    <row r="57" spans="1:7">
      <c r="A57" s="23">
        <v>45925</v>
      </c>
      <c r="B57" s="24" t="s">
        <v>171</v>
      </c>
      <c r="C57" s="24">
        <v>123.08</v>
      </c>
      <c r="D57" s="25" t="str">
        <f t="shared" si="4"/>
        <v>6</v>
      </c>
      <c r="E57" s="25">
        <f t="shared" si="5"/>
        <v>738</v>
      </c>
      <c r="F57" s="26"/>
      <c r="G57" s="26"/>
    </row>
    <row r="58" spans="1:7">
      <c r="A58" s="23">
        <v>45925</v>
      </c>
      <c r="B58" s="24" t="s">
        <v>172</v>
      </c>
      <c r="C58" s="24">
        <v>330.22</v>
      </c>
      <c r="D58" s="25" t="str">
        <f t="shared" si="4"/>
        <v>5.8</v>
      </c>
      <c r="E58" s="25">
        <f t="shared" si="5"/>
        <v>1915</v>
      </c>
      <c r="F58" s="26"/>
      <c r="G58" s="26"/>
    </row>
    <row r="59" spans="1:7">
      <c r="A59" s="23">
        <v>45925</v>
      </c>
      <c r="B59" s="24" t="s">
        <v>189</v>
      </c>
      <c r="C59" s="24">
        <v>147.93</v>
      </c>
      <c r="D59" s="25" t="str">
        <f t="shared" si="4"/>
        <v>6</v>
      </c>
      <c r="E59" s="25">
        <f t="shared" si="5"/>
        <v>887</v>
      </c>
      <c r="F59" s="26"/>
      <c r="G59" s="26"/>
    </row>
    <row r="60" spans="1:7">
      <c r="A60" s="23">
        <v>45925</v>
      </c>
      <c r="B60" s="24" t="s">
        <v>165</v>
      </c>
      <c r="C60" s="24">
        <v>441</v>
      </c>
      <c r="D60" s="25" t="str">
        <f t="shared" si="4"/>
        <v>5.8</v>
      </c>
      <c r="E60" s="25">
        <f t="shared" si="5"/>
        <v>2557</v>
      </c>
      <c r="F60" s="26"/>
      <c r="G60" s="26"/>
    </row>
    <row r="61" spans="1:7">
      <c r="A61" s="23">
        <v>45925</v>
      </c>
      <c r="B61" s="24" t="s">
        <v>189</v>
      </c>
      <c r="C61" s="24">
        <v>200</v>
      </c>
      <c r="D61" s="25" t="str">
        <f t="shared" si="4"/>
        <v>5.8</v>
      </c>
      <c r="E61" s="25">
        <f t="shared" si="5"/>
        <v>1160</v>
      </c>
      <c r="F61" s="26"/>
      <c r="G61" s="26"/>
    </row>
    <row r="62" spans="1:7">
      <c r="A62" s="23">
        <v>45925</v>
      </c>
      <c r="B62" s="24" t="s">
        <v>190</v>
      </c>
      <c r="C62" s="24">
        <v>158.96</v>
      </c>
      <c r="D62" s="25" t="str">
        <f t="shared" si="4"/>
        <v>6</v>
      </c>
      <c r="E62" s="25">
        <f t="shared" si="5"/>
        <v>953</v>
      </c>
      <c r="F62" s="26"/>
      <c r="G62" s="26"/>
    </row>
    <row r="63" spans="1:7">
      <c r="A63" s="23">
        <v>45925</v>
      </c>
      <c r="B63" s="24" t="s">
        <v>160</v>
      </c>
      <c r="C63" s="24">
        <v>320</v>
      </c>
      <c r="D63" s="25" t="str">
        <f t="shared" si="4"/>
        <v>5.8</v>
      </c>
      <c r="E63" s="25">
        <f t="shared" si="5"/>
        <v>1856</v>
      </c>
      <c r="F63" s="26"/>
      <c r="G63" s="26"/>
    </row>
    <row r="64" spans="1:7">
      <c r="A64" s="23">
        <v>45925</v>
      </c>
      <c r="B64" s="24" t="s">
        <v>164</v>
      </c>
      <c r="C64" s="24">
        <v>147.93</v>
      </c>
      <c r="D64" s="25" t="str">
        <f t="shared" si="4"/>
        <v>6</v>
      </c>
      <c r="E64" s="25">
        <f t="shared" si="5"/>
        <v>887</v>
      </c>
      <c r="F64" s="26"/>
      <c r="G64" s="26"/>
    </row>
    <row r="65" spans="1:7">
      <c r="A65" s="23">
        <v>45926</v>
      </c>
      <c r="B65" s="24" t="s">
        <v>183</v>
      </c>
      <c r="C65" s="24">
        <v>200</v>
      </c>
      <c r="D65" s="25" t="str">
        <f t="shared" si="4"/>
        <v>5.8</v>
      </c>
      <c r="E65" s="25">
        <f t="shared" ref="E65:E96" si="6">INT(C65*D65)</f>
        <v>1160</v>
      </c>
      <c r="F65" s="26"/>
      <c r="G65" s="26"/>
    </row>
    <row r="66" spans="1:7">
      <c r="A66" s="23">
        <v>45926</v>
      </c>
      <c r="B66" s="24" t="s">
        <v>175</v>
      </c>
      <c r="C66" s="24">
        <v>217.12</v>
      </c>
      <c r="D66" s="25" t="str">
        <f t="shared" ref="D66:D97" si="7">IF(C66&gt;=200,"5.8",IF(C66&lt;200,"6"))</f>
        <v>5.8</v>
      </c>
      <c r="E66" s="25">
        <f t="shared" si="6"/>
        <v>1259</v>
      </c>
      <c r="F66" s="26"/>
      <c r="G66" s="26"/>
    </row>
    <row r="67" spans="1:7">
      <c r="A67" s="23">
        <v>45926</v>
      </c>
      <c r="B67" s="24" t="s">
        <v>184</v>
      </c>
      <c r="C67" s="24">
        <v>380</v>
      </c>
      <c r="D67" s="25" t="str">
        <f t="shared" si="7"/>
        <v>5.8</v>
      </c>
      <c r="E67" s="25">
        <f t="shared" si="6"/>
        <v>2204</v>
      </c>
      <c r="F67" s="26"/>
      <c r="G67" s="26"/>
    </row>
    <row r="68" spans="1:7">
      <c r="A68" s="23">
        <v>45926</v>
      </c>
      <c r="B68" s="24" t="s">
        <v>185</v>
      </c>
      <c r="C68" s="24">
        <v>300</v>
      </c>
      <c r="D68" s="25" t="str">
        <f t="shared" si="7"/>
        <v>5.8</v>
      </c>
      <c r="E68" s="25">
        <f t="shared" si="6"/>
        <v>1740</v>
      </c>
      <c r="F68" s="26"/>
      <c r="G68" s="26"/>
    </row>
    <row r="69" spans="1:7">
      <c r="A69" s="23">
        <v>45926</v>
      </c>
      <c r="B69" s="24" t="s">
        <v>176</v>
      </c>
      <c r="C69" s="24">
        <v>483.39</v>
      </c>
      <c r="D69" s="25" t="str">
        <f t="shared" si="7"/>
        <v>5.8</v>
      </c>
      <c r="E69" s="25">
        <f t="shared" si="6"/>
        <v>2803</v>
      </c>
      <c r="F69" s="26"/>
      <c r="G69" s="26"/>
    </row>
    <row r="70" spans="1:7">
      <c r="A70" s="23">
        <v>45926</v>
      </c>
      <c r="B70" s="24" t="s">
        <v>186</v>
      </c>
      <c r="C70" s="24">
        <v>300</v>
      </c>
      <c r="D70" s="25" t="str">
        <f t="shared" si="7"/>
        <v>5.8</v>
      </c>
      <c r="E70" s="25">
        <f t="shared" si="6"/>
        <v>1740</v>
      </c>
      <c r="F70" s="26"/>
      <c r="G70" s="26"/>
    </row>
    <row r="71" spans="1:7">
      <c r="A71" s="23">
        <v>45926</v>
      </c>
      <c r="B71" s="24" t="s">
        <v>187</v>
      </c>
      <c r="C71" s="24">
        <v>138.99</v>
      </c>
      <c r="D71" s="25" t="str">
        <f t="shared" si="7"/>
        <v>6</v>
      </c>
      <c r="E71" s="25">
        <f t="shared" si="6"/>
        <v>833</v>
      </c>
      <c r="F71" s="26"/>
      <c r="G71" s="26"/>
    </row>
    <row r="72" spans="1:7">
      <c r="A72" s="23">
        <v>45926</v>
      </c>
      <c r="B72" s="24" t="s">
        <v>188</v>
      </c>
      <c r="C72" s="24">
        <v>200</v>
      </c>
      <c r="D72" s="25" t="str">
        <f t="shared" si="7"/>
        <v>5.8</v>
      </c>
      <c r="E72" s="25">
        <f t="shared" si="6"/>
        <v>1160</v>
      </c>
      <c r="F72" s="26"/>
      <c r="G72" s="26"/>
    </row>
    <row r="73" spans="1:7">
      <c r="A73" s="23">
        <v>45926</v>
      </c>
      <c r="B73" s="24" t="s">
        <v>181</v>
      </c>
      <c r="C73" s="24">
        <v>216.46</v>
      </c>
      <c r="D73" s="25" t="str">
        <f t="shared" si="7"/>
        <v>5.8</v>
      </c>
      <c r="E73" s="25">
        <f t="shared" si="6"/>
        <v>1255</v>
      </c>
      <c r="F73" s="26"/>
      <c r="G73" s="26"/>
    </row>
    <row r="74" spans="1:7">
      <c r="A74" s="23">
        <v>45926</v>
      </c>
      <c r="B74" s="24" t="s">
        <v>174</v>
      </c>
      <c r="C74" s="24">
        <v>200</v>
      </c>
      <c r="D74" s="25" t="str">
        <f t="shared" si="7"/>
        <v>5.8</v>
      </c>
      <c r="E74" s="25">
        <f t="shared" si="6"/>
        <v>1160</v>
      </c>
      <c r="F74" s="26"/>
      <c r="G74" s="26"/>
    </row>
    <row r="75" spans="1:7">
      <c r="A75" s="23">
        <v>45926</v>
      </c>
      <c r="B75" s="24" t="s">
        <v>181</v>
      </c>
      <c r="C75" s="24">
        <v>295.86</v>
      </c>
      <c r="D75" s="25" t="str">
        <f t="shared" si="7"/>
        <v>5.8</v>
      </c>
      <c r="E75" s="25">
        <f t="shared" si="6"/>
        <v>1715</v>
      </c>
      <c r="F75" s="26"/>
      <c r="G75" s="26"/>
    </row>
    <row r="76" spans="1:7">
      <c r="A76" s="23">
        <v>45926</v>
      </c>
      <c r="B76" s="24" t="s">
        <v>189</v>
      </c>
      <c r="C76" s="24">
        <v>455</v>
      </c>
      <c r="D76" s="25" t="str">
        <f t="shared" si="7"/>
        <v>5.8</v>
      </c>
      <c r="E76" s="25">
        <f t="shared" si="6"/>
        <v>2639</v>
      </c>
      <c r="F76" s="26"/>
      <c r="G76" s="26"/>
    </row>
    <row r="77" spans="1:7">
      <c r="A77" s="23">
        <v>45926</v>
      </c>
      <c r="B77" s="24" t="s">
        <v>191</v>
      </c>
      <c r="C77" s="24">
        <v>147.93</v>
      </c>
      <c r="D77" s="25" t="str">
        <f t="shared" si="7"/>
        <v>6</v>
      </c>
      <c r="E77" s="25">
        <f t="shared" si="6"/>
        <v>887</v>
      </c>
      <c r="F77" s="26"/>
      <c r="G77" s="26"/>
    </row>
    <row r="78" spans="1:7">
      <c r="A78" s="23">
        <v>45926</v>
      </c>
      <c r="B78" s="24" t="s">
        <v>161</v>
      </c>
      <c r="C78" s="24">
        <v>340</v>
      </c>
      <c r="D78" s="25" t="str">
        <f t="shared" si="7"/>
        <v>5.8</v>
      </c>
      <c r="E78" s="25">
        <f t="shared" si="6"/>
        <v>1972</v>
      </c>
      <c r="F78" s="26"/>
      <c r="G78" s="26"/>
    </row>
    <row r="79" spans="1:7">
      <c r="A79" s="23">
        <v>45926</v>
      </c>
      <c r="B79" s="24" t="s">
        <v>190</v>
      </c>
      <c r="C79" s="24">
        <v>300</v>
      </c>
      <c r="D79" s="25" t="str">
        <f t="shared" si="7"/>
        <v>5.8</v>
      </c>
      <c r="E79" s="25">
        <f t="shared" si="6"/>
        <v>1740</v>
      </c>
      <c r="F79" s="26"/>
      <c r="G79" s="26"/>
    </row>
    <row r="80" spans="1:7">
      <c r="A80" s="23">
        <v>45926</v>
      </c>
      <c r="B80" s="24" t="s">
        <v>163</v>
      </c>
      <c r="C80" s="24">
        <v>200</v>
      </c>
      <c r="D80" s="25" t="str">
        <f t="shared" si="7"/>
        <v>5.8</v>
      </c>
      <c r="E80" s="25">
        <f t="shared" si="6"/>
        <v>1160</v>
      </c>
      <c r="F80" s="26"/>
      <c r="G80" s="26"/>
    </row>
    <row r="81" spans="1:7">
      <c r="A81" s="23">
        <v>45926</v>
      </c>
      <c r="B81" s="24" t="s">
        <v>168</v>
      </c>
      <c r="C81" s="24">
        <v>191.62</v>
      </c>
      <c r="D81" s="25" t="str">
        <f t="shared" si="7"/>
        <v>6</v>
      </c>
      <c r="E81" s="25">
        <f t="shared" si="6"/>
        <v>1149</v>
      </c>
      <c r="F81" s="26"/>
      <c r="G81" s="26"/>
    </row>
    <row r="82" spans="1:7">
      <c r="A82" s="23">
        <v>45926</v>
      </c>
      <c r="B82" s="24" t="s">
        <v>169</v>
      </c>
      <c r="C82" s="24">
        <v>700</v>
      </c>
      <c r="D82" s="25" t="str">
        <f t="shared" si="7"/>
        <v>5.8</v>
      </c>
      <c r="E82" s="25">
        <f t="shared" si="6"/>
        <v>4060</v>
      </c>
      <c r="F82" s="26"/>
      <c r="G82" s="26"/>
    </row>
    <row r="83" spans="1:7">
      <c r="A83" s="23">
        <v>45926</v>
      </c>
      <c r="B83" s="24" t="s">
        <v>171</v>
      </c>
      <c r="C83" s="24">
        <v>200</v>
      </c>
      <c r="D83" s="25" t="str">
        <f t="shared" si="7"/>
        <v>5.8</v>
      </c>
      <c r="E83" s="25">
        <f t="shared" si="6"/>
        <v>1160</v>
      </c>
      <c r="F83" s="26"/>
      <c r="G83" s="26"/>
    </row>
    <row r="84" spans="1:7">
      <c r="A84" s="23">
        <v>45926</v>
      </c>
      <c r="B84" s="24" t="s">
        <v>160</v>
      </c>
      <c r="C84" s="24">
        <v>365</v>
      </c>
      <c r="D84" s="25" t="str">
        <f t="shared" si="7"/>
        <v>5.8</v>
      </c>
      <c r="E84" s="25">
        <f t="shared" si="6"/>
        <v>2117</v>
      </c>
      <c r="F84" s="26"/>
      <c r="G84" s="26"/>
    </row>
    <row r="85" spans="1:7">
      <c r="A85" s="23">
        <v>45926</v>
      </c>
      <c r="B85" s="24" t="s">
        <v>164</v>
      </c>
      <c r="C85" s="24">
        <v>520.15</v>
      </c>
      <c r="D85" s="25" t="str">
        <f t="shared" si="7"/>
        <v>5.8</v>
      </c>
      <c r="E85" s="25">
        <f t="shared" si="6"/>
        <v>3016</v>
      </c>
      <c r="F85" s="26"/>
      <c r="G85" s="26"/>
    </row>
    <row r="86" spans="1:7">
      <c r="A86" s="23">
        <v>45926</v>
      </c>
      <c r="B86" s="24" t="s">
        <v>165</v>
      </c>
      <c r="C86" s="24">
        <v>200</v>
      </c>
      <c r="D86" s="25" t="str">
        <f t="shared" si="7"/>
        <v>5.8</v>
      </c>
      <c r="E86" s="25">
        <f t="shared" si="6"/>
        <v>1160</v>
      </c>
      <c r="F86" s="26"/>
      <c r="G86" s="26"/>
    </row>
    <row r="87" spans="1:7">
      <c r="A87" s="23">
        <v>45926</v>
      </c>
      <c r="B87" s="24" t="s">
        <v>166</v>
      </c>
      <c r="C87" s="24">
        <v>482.21</v>
      </c>
      <c r="D87" s="25" t="str">
        <f t="shared" si="7"/>
        <v>5.8</v>
      </c>
      <c r="E87" s="25">
        <f t="shared" si="6"/>
        <v>2796</v>
      </c>
      <c r="F87" s="26"/>
      <c r="G87" s="26"/>
    </row>
    <row r="88" spans="1:7">
      <c r="A88" s="23">
        <v>45926</v>
      </c>
      <c r="B88" s="24" t="s">
        <v>173</v>
      </c>
      <c r="C88" s="24">
        <v>300</v>
      </c>
      <c r="D88" s="25" t="str">
        <f t="shared" si="7"/>
        <v>5.8</v>
      </c>
      <c r="E88" s="25">
        <f t="shared" si="6"/>
        <v>1740</v>
      </c>
      <c r="F88" s="26"/>
      <c r="G88" s="26"/>
    </row>
    <row r="89" spans="1:7">
      <c r="A89" s="23">
        <v>45926</v>
      </c>
      <c r="B89" s="24" t="s">
        <v>172</v>
      </c>
      <c r="C89" s="24">
        <v>296.77</v>
      </c>
      <c r="D89" s="25" t="str">
        <f t="shared" si="7"/>
        <v>5.8</v>
      </c>
      <c r="E89" s="25">
        <f t="shared" si="6"/>
        <v>1721</v>
      </c>
      <c r="F89" s="26"/>
      <c r="G89" s="26"/>
    </row>
    <row r="90" spans="1:7">
      <c r="A90" s="23">
        <v>45927</v>
      </c>
      <c r="B90" s="24" t="s">
        <v>181</v>
      </c>
      <c r="C90" s="24">
        <v>331</v>
      </c>
      <c r="D90" s="25" t="str">
        <f t="shared" si="7"/>
        <v>5.8</v>
      </c>
      <c r="E90" s="25">
        <f t="shared" si="6"/>
        <v>1919</v>
      </c>
      <c r="F90" s="26"/>
      <c r="G90" s="26"/>
    </row>
    <row r="91" spans="1:7">
      <c r="A91" s="23">
        <v>45927</v>
      </c>
      <c r="B91" s="24" t="s">
        <v>189</v>
      </c>
      <c r="C91" s="24">
        <v>400</v>
      </c>
      <c r="D91" s="25" t="str">
        <f t="shared" si="7"/>
        <v>5.8</v>
      </c>
      <c r="E91" s="25">
        <f t="shared" si="6"/>
        <v>2320</v>
      </c>
      <c r="F91" s="26"/>
      <c r="G91" s="26"/>
    </row>
    <row r="92" spans="1:7">
      <c r="A92" s="23">
        <v>45927</v>
      </c>
      <c r="B92" s="24" t="s">
        <v>191</v>
      </c>
      <c r="C92" s="24">
        <v>343.36</v>
      </c>
      <c r="D92" s="25" t="str">
        <f t="shared" si="7"/>
        <v>5.8</v>
      </c>
      <c r="E92" s="25">
        <f t="shared" si="6"/>
        <v>1991</v>
      </c>
      <c r="F92" s="26"/>
      <c r="G92" s="26"/>
    </row>
    <row r="93" spans="1:7">
      <c r="A93" s="23">
        <v>45927</v>
      </c>
      <c r="B93" s="24" t="s">
        <v>190</v>
      </c>
      <c r="C93" s="24">
        <v>295.52</v>
      </c>
      <c r="D93" s="25" t="str">
        <f t="shared" si="7"/>
        <v>5.8</v>
      </c>
      <c r="E93" s="25">
        <f t="shared" si="6"/>
        <v>1714</v>
      </c>
      <c r="F93" s="26"/>
      <c r="G93" s="26"/>
    </row>
    <row r="94" spans="1:7">
      <c r="A94" s="23">
        <v>45927</v>
      </c>
      <c r="B94" s="24" t="s">
        <v>168</v>
      </c>
      <c r="C94" s="24">
        <v>215</v>
      </c>
      <c r="D94" s="25" t="str">
        <f t="shared" si="7"/>
        <v>5.8</v>
      </c>
      <c r="E94" s="25">
        <f t="shared" si="6"/>
        <v>1247</v>
      </c>
      <c r="F94" s="26"/>
      <c r="G94" s="26"/>
    </row>
    <row r="95" spans="1:7">
      <c r="A95" s="23">
        <v>45927</v>
      </c>
      <c r="B95" s="24" t="s">
        <v>169</v>
      </c>
      <c r="C95" s="24">
        <v>200</v>
      </c>
      <c r="D95" s="25" t="str">
        <f t="shared" si="7"/>
        <v>5.8</v>
      </c>
      <c r="E95" s="25">
        <f t="shared" si="6"/>
        <v>1160</v>
      </c>
      <c r="F95" s="26"/>
      <c r="G95" s="26"/>
    </row>
    <row r="96" spans="1:7">
      <c r="A96" s="23">
        <v>45927</v>
      </c>
      <c r="B96" s="24" t="s">
        <v>171</v>
      </c>
      <c r="C96" s="24">
        <v>200</v>
      </c>
      <c r="D96" s="25" t="str">
        <f t="shared" si="7"/>
        <v>5.8</v>
      </c>
      <c r="E96" s="25">
        <f t="shared" si="6"/>
        <v>1160</v>
      </c>
      <c r="F96" s="26"/>
      <c r="G96" s="26"/>
    </row>
    <row r="97" spans="1:7">
      <c r="A97" s="23">
        <v>45927</v>
      </c>
      <c r="B97" s="24" t="s">
        <v>172</v>
      </c>
      <c r="C97" s="24">
        <v>200</v>
      </c>
      <c r="D97" s="25" t="str">
        <f t="shared" si="7"/>
        <v>5.8</v>
      </c>
      <c r="E97" s="25">
        <f t="shared" ref="E97:E128" si="8">INT(C97*D97)</f>
        <v>1160</v>
      </c>
      <c r="F97" s="26"/>
      <c r="G97" s="26"/>
    </row>
    <row r="98" spans="1:7">
      <c r="A98" s="23">
        <v>45927</v>
      </c>
      <c r="B98" s="24" t="s">
        <v>177</v>
      </c>
      <c r="C98" s="24">
        <v>116.62</v>
      </c>
      <c r="D98" s="25" t="str">
        <f t="shared" ref="D98:D129" si="9">IF(C98&gt;=200,"5.8",IF(C98&lt;200,"6"))</f>
        <v>6</v>
      </c>
      <c r="E98" s="25">
        <f t="shared" si="8"/>
        <v>699</v>
      </c>
      <c r="F98" s="26"/>
      <c r="G98" s="26"/>
    </row>
    <row r="99" spans="1:7">
      <c r="A99" s="23">
        <v>45927</v>
      </c>
      <c r="B99" s="24" t="s">
        <v>178</v>
      </c>
      <c r="C99" s="24">
        <v>707.67</v>
      </c>
      <c r="D99" s="25" t="str">
        <f t="shared" si="9"/>
        <v>5.8</v>
      </c>
      <c r="E99" s="25">
        <f t="shared" si="8"/>
        <v>4104</v>
      </c>
      <c r="F99" s="26"/>
      <c r="G99" s="26"/>
    </row>
    <row r="100" spans="1:7">
      <c r="A100" s="23">
        <v>45927</v>
      </c>
      <c r="B100" s="24" t="s">
        <v>179</v>
      </c>
      <c r="C100" s="24">
        <v>159.75</v>
      </c>
      <c r="D100" s="25" t="str">
        <f t="shared" si="9"/>
        <v>6</v>
      </c>
      <c r="E100" s="25">
        <f t="shared" si="8"/>
        <v>958</v>
      </c>
      <c r="F100" s="26"/>
      <c r="G100" s="26"/>
    </row>
    <row r="101" spans="1:7">
      <c r="A101" s="23">
        <v>45927</v>
      </c>
      <c r="B101" s="24" t="s">
        <v>160</v>
      </c>
      <c r="C101" s="24">
        <v>150.01</v>
      </c>
      <c r="D101" s="25" t="str">
        <f t="shared" si="9"/>
        <v>6</v>
      </c>
      <c r="E101" s="25">
        <f t="shared" si="8"/>
        <v>900</v>
      </c>
      <c r="F101" s="26"/>
      <c r="G101" s="26"/>
    </row>
    <row r="102" spans="1:7">
      <c r="A102" s="23">
        <v>45927</v>
      </c>
      <c r="B102" s="24" t="s">
        <v>164</v>
      </c>
      <c r="C102" s="24">
        <v>310</v>
      </c>
      <c r="D102" s="25" t="str">
        <f t="shared" si="9"/>
        <v>5.8</v>
      </c>
      <c r="E102" s="25">
        <f t="shared" si="8"/>
        <v>1798</v>
      </c>
      <c r="F102" s="26"/>
      <c r="G102" s="26"/>
    </row>
    <row r="103" spans="1:7">
      <c r="A103" s="23">
        <v>45927</v>
      </c>
      <c r="B103" s="24" t="s">
        <v>182</v>
      </c>
      <c r="C103" s="24">
        <v>135.79</v>
      </c>
      <c r="D103" s="25" t="str">
        <f t="shared" si="9"/>
        <v>6</v>
      </c>
      <c r="E103" s="25">
        <f t="shared" si="8"/>
        <v>814</v>
      </c>
      <c r="F103" s="26"/>
      <c r="G103" s="26"/>
    </row>
    <row r="104" spans="1:7">
      <c r="A104" s="23">
        <v>45927</v>
      </c>
      <c r="B104" s="24" t="s">
        <v>183</v>
      </c>
      <c r="C104" s="24">
        <v>137.82</v>
      </c>
      <c r="D104" s="25" t="str">
        <f t="shared" si="9"/>
        <v>6</v>
      </c>
      <c r="E104" s="25">
        <f t="shared" si="8"/>
        <v>826</v>
      </c>
      <c r="F104" s="26"/>
      <c r="G104" s="26"/>
    </row>
    <row r="105" spans="1:7">
      <c r="A105" s="23">
        <v>45927</v>
      </c>
      <c r="B105" s="24" t="s">
        <v>184</v>
      </c>
      <c r="C105" s="24">
        <v>300</v>
      </c>
      <c r="D105" s="25" t="str">
        <f t="shared" si="9"/>
        <v>5.8</v>
      </c>
      <c r="E105" s="25">
        <f t="shared" si="8"/>
        <v>1740</v>
      </c>
      <c r="F105" s="26"/>
      <c r="G105" s="26"/>
    </row>
    <row r="106" spans="1:7">
      <c r="A106" s="23">
        <v>45927</v>
      </c>
      <c r="B106" s="24" t="s">
        <v>185</v>
      </c>
      <c r="C106" s="24">
        <v>275</v>
      </c>
      <c r="D106" s="25" t="str">
        <f t="shared" si="9"/>
        <v>5.8</v>
      </c>
      <c r="E106" s="25">
        <f t="shared" si="8"/>
        <v>1595</v>
      </c>
      <c r="F106" s="26"/>
      <c r="G106" s="26"/>
    </row>
    <row r="107" spans="1:7">
      <c r="A107" s="23">
        <v>45927</v>
      </c>
      <c r="B107" s="24" t="s">
        <v>186</v>
      </c>
      <c r="C107" s="24">
        <v>400</v>
      </c>
      <c r="D107" s="25" t="str">
        <f t="shared" si="9"/>
        <v>5.8</v>
      </c>
      <c r="E107" s="25">
        <f t="shared" si="8"/>
        <v>2320</v>
      </c>
      <c r="F107" s="26"/>
      <c r="G107" s="26"/>
    </row>
    <row r="108" spans="1:7">
      <c r="A108" s="23">
        <v>45927</v>
      </c>
      <c r="B108" s="24" t="s">
        <v>187</v>
      </c>
      <c r="C108" s="24">
        <v>457.67</v>
      </c>
      <c r="D108" s="25" t="str">
        <f t="shared" si="9"/>
        <v>5.8</v>
      </c>
      <c r="E108" s="25">
        <f t="shared" si="8"/>
        <v>2654</v>
      </c>
      <c r="F108" s="26"/>
      <c r="G108" s="26"/>
    </row>
    <row r="109" spans="1:7">
      <c r="A109" s="23">
        <v>45927</v>
      </c>
      <c r="B109" s="24" t="s">
        <v>166</v>
      </c>
      <c r="C109" s="24">
        <v>207.11</v>
      </c>
      <c r="D109" s="25" t="str">
        <f t="shared" si="9"/>
        <v>5.8</v>
      </c>
      <c r="E109" s="25">
        <f t="shared" si="8"/>
        <v>1201</v>
      </c>
      <c r="F109" s="26"/>
      <c r="G109" s="26"/>
    </row>
    <row r="110" spans="1:7">
      <c r="A110" s="23">
        <v>45927</v>
      </c>
      <c r="B110" s="24" t="s">
        <v>165</v>
      </c>
      <c r="C110" s="24">
        <v>236.69</v>
      </c>
      <c r="D110" s="25" t="str">
        <f t="shared" si="9"/>
        <v>5.8</v>
      </c>
      <c r="E110" s="25">
        <f t="shared" si="8"/>
        <v>1372</v>
      </c>
      <c r="F110" s="26"/>
      <c r="G110" s="26"/>
    </row>
    <row r="111" spans="1:7">
      <c r="A111" s="23">
        <v>45927</v>
      </c>
      <c r="B111" s="24" t="s">
        <v>188</v>
      </c>
      <c r="C111" s="24">
        <v>200</v>
      </c>
      <c r="D111" s="25" t="str">
        <f t="shared" si="9"/>
        <v>5.8</v>
      </c>
      <c r="E111" s="25">
        <f t="shared" si="8"/>
        <v>1160</v>
      </c>
      <c r="F111" s="26"/>
      <c r="G111" s="26"/>
    </row>
    <row r="112" spans="1:7">
      <c r="A112" s="23">
        <v>45927</v>
      </c>
      <c r="B112" s="24" t="s">
        <v>174</v>
      </c>
      <c r="C112" s="24">
        <v>474</v>
      </c>
      <c r="D112" s="25" t="str">
        <f t="shared" si="9"/>
        <v>5.8</v>
      </c>
      <c r="E112" s="25">
        <f t="shared" si="8"/>
        <v>2749</v>
      </c>
      <c r="F112" s="26"/>
      <c r="G112" s="26"/>
    </row>
    <row r="113" spans="1:7">
      <c r="A113" s="23">
        <v>45927</v>
      </c>
      <c r="B113" s="24" t="s">
        <v>173</v>
      </c>
      <c r="C113" s="24">
        <v>300</v>
      </c>
      <c r="D113" s="25" t="str">
        <f t="shared" si="9"/>
        <v>5.8</v>
      </c>
      <c r="E113" s="25">
        <f t="shared" si="8"/>
        <v>1740</v>
      </c>
      <c r="F113" s="26"/>
      <c r="G113" s="26"/>
    </row>
    <row r="114" spans="1:7">
      <c r="A114" s="23">
        <v>45927</v>
      </c>
      <c r="B114" s="24" t="s">
        <v>161</v>
      </c>
      <c r="C114" s="24">
        <v>150</v>
      </c>
      <c r="D114" s="25" t="str">
        <f t="shared" si="9"/>
        <v>6</v>
      </c>
      <c r="E114" s="25">
        <f t="shared" si="8"/>
        <v>900</v>
      </c>
      <c r="F114" s="26"/>
      <c r="G114" s="26"/>
    </row>
    <row r="115" spans="1:7">
      <c r="A115" s="23">
        <v>45927</v>
      </c>
      <c r="B115" s="24" t="s">
        <v>163</v>
      </c>
      <c r="C115" s="24">
        <v>231.47</v>
      </c>
      <c r="D115" s="25" t="str">
        <f t="shared" si="9"/>
        <v>5.8</v>
      </c>
      <c r="E115" s="25">
        <f t="shared" si="8"/>
        <v>1342</v>
      </c>
      <c r="F115" s="26"/>
      <c r="G115" s="26"/>
    </row>
    <row r="116" spans="1:7">
      <c r="A116" s="23">
        <v>45927</v>
      </c>
      <c r="B116" s="24" t="s">
        <v>168</v>
      </c>
      <c r="C116" s="24">
        <v>200</v>
      </c>
      <c r="D116" s="25" t="str">
        <f t="shared" si="9"/>
        <v>5.8</v>
      </c>
      <c r="E116" s="25">
        <f t="shared" si="8"/>
        <v>1160</v>
      </c>
      <c r="F116" s="26"/>
      <c r="G116" s="26"/>
    </row>
    <row r="117" spans="1:7">
      <c r="A117" s="23">
        <v>45927</v>
      </c>
      <c r="B117" s="24" t="s">
        <v>169</v>
      </c>
      <c r="C117" s="24">
        <v>200</v>
      </c>
      <c r="D117" s="25" t="str">
        <f t="shared" si="9"/>
        <v>5.8</v>
      </c>
      <c r="E117" s="25">
        <f t="shared" si="8"/>
        <v>1160</v>
      </c>
      <c r="F117" s="26"/>
      <c r="G117" s="26"/>
    </row>
    <row r="118" spans="1:7">
      <c r="A118" s="23">
        <v>45927</v>
      </c>
      <c r="B118" s="24" t="s">
        <v>171</v>
      </c>
      <c r="C118" s="24">
        <v>190</v>
      </c>
      <c r="D118" s="25" t="str">
        <f t="shared" si="9"/>
        <v>6</v>
      </c>
      <c r="E118" s="25">
        <f t="shared" si="8"/>
        <v>1140</v>
      </c>
      <c r="F118" s="26"/>
      <c r="G118" s="26"/>
    </row>
    <row r="119" spans="1:7">
      <c r="A119" s="23">
        <v>45927</v>
      </c>
      <c r="B119" s="24" t="s">
        <v>172</v>
      </c>
      <c r="C119" s="24">
        <v>479.24</v>
      </c>
      <c r="D119" s="25" t="str">
        <f t="shared" si="9"/>
        <v>5.8</v>
      </c>
      <c r="E119" s="25">
        <f t="shared" si="8"/>
        <v>2779</v>
      </c>
      <c r="F119" s="26"/>
      <c r="G119" s="26"/>
    </row>
    <row r="120" spans="1:7">
      <c r="A120" s="23">
        <v>45928</v>
      </c>
      <c r="B120" s="24" t="s">
        <v>179</v>
      </c>
      <c r="C120" s="24">
        <v>130</v>
      </c>
      <c r="D120" s="25" t="str">
        <f t="shared" si="9"/>
        <v>6</v>
      </c>
      <c r="E120" s="25">
        <f t="shared" si="8"/>
        <v>780</v>
      </c>
      <c r="F120" s="26"/>
      <c r="G120" s="26"/>
    </row>
    <row r="121" spans="1:7">
      <c r="A121" s="23">
        <v>45928</v>
      </c>
      <c r="B121" s="24" t="s">
        <v>182</v>
      </c>
      <c r="C121" s="24">
        <v>223.81</v>
      </c>
      <c r="D121" s="25" t="str">
        <f t="shared" si="9"/>
        <v>5.8</v>
      </c>
      <c r="E121" s="25">
        <f t="shared" si="8"/>
        <v>1298</v>
      </c>
      <c r="F121" s="26"/>
      <c r="G121" s="26"/>
    </row>
    <row r="122" spans="1:7">
      <c r="A122" s="23">
        <v>45928</v>
      </c>
      <c r="B122" s="24" t="s">
        <v>183</v>
      </c>
      <c r="C122" s="24">
        <v>514.7</v>
      </c>
      <c r="D122" s="25" t="str">
        <f t="shared" si="9"/>
        <v>5.8</v>
      </c>
      <c r="E122" s="25">
        <f t="shared" si="8"/>
        <v>2985</v>
      </c>
      <c r="F122" s="26"/>
      <c r="G122" s="26"/>
    </row>
    <row r="123" spans="1:7">
      <c r="A123" s="23">
        <v>45928</v>
      </c>
      <c r="B123" s="24" t="s">
        <v>184</v>
      </c>
      <c r="C123" s="24">
        <v>479.24</v>
      </c>
      <c r="D123" s="25" t="str">
        <f t="shared" si="9"/>
        <v>5.8</v>
      </c>
      <c r="E123" s="25">
        <f t="shared" si="8"/>
        <v>2779</v>
      </c>
      <c r="F123" s="26"/>
      <c r="G123" s="26"/>
    </row>
    <row r="124" spans="1:7">
      <c r="A124" s="23">
        <v>45928</v>
      </c>
      <c r="B124" s="24" t="s">
        <v>175</v>
      </c>
      <c r="C124" s="24">
        <v>365</v>
      </c>
      <c r="D124" s="25" t="str">
        <f t="shared" si="9"/>
        <v>5.8</v>
      </c>
      <c r="E124" s="25">
        <f t="shared" si="8"/>
        <v>2117</v>
      </c>
      <c r="F124" s="26"/>
      <c r="G124" s="26"/>
    </row>
    <row r="125" spans="1:7">
      <c r="A125" s="23">
        <v>45928</v>
      </c>
      <c r="B125" s="24" t="s">
        <v>185</v>
      </c>
      <c r="C125" s="24">
        <v>207.67</v>
      </c>
      <c r="D125" s="25" t="str">
        <f t="shared" si="9"/>
        <v>5.8</v>
      </c>
      <c r="E125" s="25">
        <f t="shared" si="8"/>
        <v>1204</v>
      </c>
      <c r="F125" s="26"/>
      <c r="G125" s="26"/>
    </row>
    <row r="126" spans="1:7">
      <c r="A126" s="23">
        <v>45928</v>
      </c>
      <c r="B126" s="24" t="s">
        <v>176</v>
      </c>
      <c r="C126" s="24">
        <v>501</v>
      </c>
      <c r="D126" s="25" t="str">
        <f t="shared" si="9"/>
        <v>5.8</v>
      </c>
      <c r="E126" s="25">
        <f t="shared" si="8"/>
        <v>2905</v>
      </c>
      <c r="F126" s="26"/>
      <c r="G126" s="26"/>
    </row>
    <row r="127" spans="1:7">
      <c r="A127" s="23">
        <v>45928</v>
      </c>
      <c r="B127" s="24" t="s">
        <v>186</v>
      </c>
      <c r="C127" s="24">
        <v>210</v>
      </c>
      <c r="D127" s="25" t="str">
        <f t="shared" si="9"/>
        <v>5.8</v>
      </c>
      <c r="E127" s="25">
        <f t="shared" si="8"/>
        <v>1218</v>
      </c>
      <c r="F127" s="26"/>
      <c r="G127" s="26"/>
    </row>
    <row r="128" spans="1:7">
      <c r="A128" s="23">
        <v>45928</v>
      </c>
      <c r="B128" s="24" t="s">
        <v>181</v>
      </c>
      <c r="C128" s="24">
        <v>249.77</v>
      </c>
      <c r="D128" s="25" t="str">
        <f t="shared" si="9"/>
        <v>5.8</v>
      </c>
      <c r="E128" s="25">
        <f t="shared" si="8"/>
        <v>1448</v>
      </c>
      <c r="F128" s="26"/>
      <c r="G128" s="26"/>
    </row>
    <row r="129" spans="1:7">
      <c r="A129" s="23">
        <v>45928</v>
      </c>
      <c r="B129" s="24" t="s">
        <v>189</v>
      </c>
      <c r="C129" s="24">
        <v>147.93</v>
      </c>
      <c r="D129" s="25" t="str">
        <f t="shared" si="9"/>
        <v>6</v>
      </c>
      <c r="E129" s="25">
        <f t="shared" ref="E129:E146" si="10">INT(C129*D129)</f>
        <v>887</v>
      </c>
      <c r="F129" s="26"/>
      <c r="G129" s="26"/>
    </row>
    <row r="130" spans="1:7">
      <c r="A130" s="23">
        <v>45928</v>
      </c>
      <c r="B130" s="24" t="s">
        <v>191</v>
      </c>
      <c r="C130" s="24">
        <v>211.54</v>
      </c>
      <c r="D130" s="25" t="str">
        <f t="shared" ref="D130:D146" si="11">IF(C130&gt;=200,"5.8",IF(C130&lt;200,"6"))</f>
        <v>5.8</v>
      </c>
      <c r="E130" s="25">
        <f t="shared" si="10"/>
        <v>1226</v>
      </c>
      <c r="F130" s="26"/>
      <c r="G130" s="26"/>
    </row>
    <row r="131" spans="1:7">
      <c r="A131" s="23">
        <v>45928</v>
      </c>
      <c r="B131" s="24" t="s">
        <v>167</v>
      </c>
      <c r="C131" s="24">
        <v>230.74</v>
      </c>
      <c r="D131" s="25" t="str">
        <f t="shared" si="11"/>
        <v>5.8</v>
      </c>
      <c r="E131" s="25">
        <f t="shared" si="10"/>
        <v>1338</v>
      </c>
      <c r="F131" s="26"/>
      <c r="G131" s="26"/>
    </row>
    <row r="132" spans="1:7">
      <c r="A132" s="23">
        <v>45928</v>
      </c>
      <c r="B132" s="24" t="s">
        <v>160</v>
      </c>
      <c r="C132" s="24">
        <v>275</v>
      </c>
      <c r="D132" s="25" t="str">
        <f t="shared" si="11"/>
        <v>5.8</v>
      </c>
      <c r="E132" s="25">
        <f t="shared" si="10"/>
        <v>1595</v>
      </c>
      <c r="F132" s="26"/>
      <c r="G132" s="26"/>
    </row>
    <row r="133" spans="1:7">
      <c r="A133" s="23">
        <v>45928</v>
      </c>
      <c r="B133" s="24" t="s">
        <v>190</v>
      </c>
      <c r="C133" s="24">
        <v>238.49</v>
      </c>
      <c r="D133" s="25" t="str">
        <f t="shared" si="11"/>
        <v>5.8</v>
      </c>
      <c r="E133" s="25">
        <f t="shared" si="10"/>
        <v>1383</v>
      </c>
      <c r="F133" s="26"/>
      <c r="G133" s="26"/>
    </row>
    <row r="134" spans="1:7">
      <c r="A134" s="23">
        <v>45928</v>
      </c>
      <c r="B134" s="24" t="s">
        <v>164</v>
      </c>
      <c r="C134" s="24">
        <v>200</v>
      </c>
      <c r="D134" s="25" t="str">
        <f t="shared" si="11"/>
        <v>5.8</v>
      </c>
      <c r="E134" s="25">
        <f t="shared" si="10"/>
        <v>1160</v>
      </c>
      <c r="F134" s="26"/>
      <c r="G134" s="26"/>
    </row>
    <row r="135" spans="1:7">
      <c r="A135" s="23">
        <v>45928</v>
      </c>
      <c r="B135" s="24" t="s">
        <v>165</v>
      </c>
      <c r="C135" s="24">
        <v>319.72</v>
      </c>
      <c r="D135" s="25" t="str">
        <f t="shared" si="11"/>
        <v>5.8</v>
      </c>
      <c r="E135" s="25">
        <f t="shared" si="10"/>
        <v>1854</v>
      </c>
      <c r="F135" s="26"/>
      <c r="G135" s="26"/>
    </row>
    <row r="136" spans="1:7">
      <c r="A136" s="23">
        <v>45928</v>
      </c>
      <c r="B136" s="24" t="s">
        <v>187</v>
      </c>
      <c r="C136" s="24">
        <v>200</v>
      </c>
      <c r="D136" s="25" t="str">
        <f t="shared" si="11"/>
        <v>5.8</v>
      </c>
      <c r="E136" s="25">
        <f t="shared" si="10"/>
        <v>1160</v>
      </c>
      <c r="F136" s="26"/>
      <c r="G136" s="26"/>
    </row>
    <row r="137" spans="1:7">
      <c r="A137" s="23">
        <v>45928</v>
      </c>
      <c r="B137" s="24" t="s">
        <v>188</v>
      </c>
      <c r="C137" s="24">
        <v>153.02</v>
      </c>
      <c r="D137" s="25" t="str">
        <f t="shared" si="11"/>
        <v>6</v>
      </c>
      <c r="E137" s="25">
        <f t="shared" si="10"/>
        <v>918</v>
      </c>
      <c r="F137" s="26"/>
      <c r="G137" s="26"/>
    </row>
    <row r="138" spans="1:7">
      <c r="A138" s="23">
        <v>45928</v>
      </c>
      <c r="B138" s="24" t="s">
        <v>174</v>
      </c>
      <c r="C138" s="24">
        <v>159.75</v>
      </c>
      <c r="D138" s="25" t="str">
        <f t="shared" si="11"/>
        <v>6</v>
      </c>
      <c r="E138" s="25">
        <f t="shared" si="10"/>
        <v>958</v>
      </c>
      <c r="F138" s="26"/>
      <c r="G138" s="26"/>
    </row>
    <row r="139" spans="1:7">
      <c r="A139" s="23">
        <v>45928</v>
      </c>
      <c r="B139" s="24" t="s">
        <v>161</v>
      </c>
      <c r="C139" s="24">
        <v>135</v>
      </c>
      <c r="D139" s="25" t="str">
        <f t="shared" si="11"/>
        <v>6</v>
      </c>
      <c r="E139" s="25">
        <f t="shared" si="10"/>
        <v>810</v>
      </c>
      <c r="F139" s="26"/>
      <c r="G139" s="26"/>
    </row>
    <row r="140" spans="1:7">
      <c r="A140" s="23">
        <v>45928</v>
      </c>
      <c r="B140" s="24" t="s">
        <v>163</v>
      </c>
      <c r="C140" s="24">
        <v>136.98</v>
      </c>
      <c r="D140" s="25" t="str">
        <f t="shared" si="11"/>
        <v>6</v>
      </c>
      <c r="E140" s="25">
        <f t="shared" si="10"/>
        <v>821</v>
      </c>
      <c r="F140" s="26"/>
      <c r="G140" s="26"/>
    </row>
    <row r="141" spans="1:7">
      <c r="A141" s="23">
        <v>45928</v>
      </c>
      <c r="B141" s="24" t="s">
        <v>168</v>
      </c>
      <c r="C141" s="24">
        <v>208.66</v>
      </c>
      <c r="D141" s="25" t="str">
        <f t="shared" si="11"/>
        <v>5.8</v>
      </c>
      <c r="E141" s="25">
        <f t="shared" si="10"/>
        <v>1210</v>
      </c>
      <c r="F141" s="26"/>
      <c r="G141" s="26"/>
    </row>
    <row r="142" spans="1:7">
      <c r="A142" s="23">
        <v>45928</v>
      </c>
      <c r="B142" s="24" t="s">
        <v>166</v>
      </c>
      <c r="C142" s="24">
        <v>210.33</v>
      </c>
      <c r="D142" s="25" t="str">
        <f t="shared" si="11"/>
        <v>5.8</v>
      </c>
      <c r="E142" s="25">
        <f t="shared" si="10"/>
        <v>1219</v>
      </c>
      <c r="F142" s="26"/>
      <c r="G142" s="26"/>
    </row>
    <row r="143" spans="1:7">
      <c r="A143" s="23">
        <v>45928</v>
      </c>
      <c r="B143" s="24" t="s">
        <v>169</v>
      </c>
      <c r="C143" s="24">
        <v>161.03</v>
      </c>
      <c r="D143" s="25" t="str">
        <f t="shared" si="11"/>
        <v>6</v>
      </c>
      <c r="E143" s="25">
        <f t="shared" si="10"/>
        <v>966</v>
      </c>
      <c r="F143" s="26"/>
      <c r="G143" s="26"/>
    </row>
    <row r="144" spans="1:7">
      <c r="A144" s="23">
        <v>45928</v>
      </c>
      <c r="B144" s="24" t="s">
        <v>171</v>
      </c>
      <c r="C144" s="24">
        <v>132.59</v>
      </c>
      <c r="D144" s="25" t="str">
        <f t="shared" si="11"/>
        <v>6</v>
      </c>
      <c r="E144" s="25">
        <f t="shared" si="10"/>
        <v>795</v>
      </c>
      <c r="F144" s="26"/>
      <c r="G144" s="26"/>
    </row>
    <row r="145" spans="1:7">
      <c r="A145" s="23">
        <v>45928</v>
      </c>
      <c r="B145" s="24" t="s">
        <v>172</v>
      </c>
      <c r="C145" s="24">
        <v>137.45</v>
      </c>
      <c r="D145" s="25" t="str">
        <f t="shared" si="11"/>
        <v>6</v>
      </c>
      <c r="E145" s="25">
        <f t="shared" si="10"/>
        <v>824</v>
      </c>
      <c r="F145" s="26"/>
      <c r="G145" s="26"/>
    </row>
    <row r="146" spans="1:7">
      <c r="A146" s="23">
        <v>45928</v>
      </c>
      <c r="B146" s="24" t="s">
        <v>173</v>
      </c>
      <c r="C146" s="24">
        <v>672.97</v>
      </c>
      <c r="D146" s="25" t="str">
        <f t="shared" si="11"/>
        <v>5.8</v>
      </c>
      <c r="E146" s="25">
        <f t="shared" si="10"/>
        <v>3903</v>
      </c>
      <c r="F146" s="26"/>
      <c r="G146" s="26"/>
    </row>
    <row r="147" spans="1:5">
      <c r="A147" s="23">
        <v>45929</v>
      </c>
      <c r="B147" s="24" t="s">
        <v>173</v>
      </c>
      <c r="C147" s="24">
        <v>183.01</v>
      </c>
      <c r="D147" s="25" t="str">
        <f t="shared" ref="D147:D188" si="12">IF(C147&gt;=200,"5.8",IF(C147&lt;200,"6"))</f>
        <v>6</v>
      </c>
      <c r="E147" s="25">
        <f t="shared" ref="E147:E188" si="13">INT(C147*D147)</f>
        <v>1098</v>
      </c>
    </row>
    <row r="148" spans="1:5">
      <c r="A148" s="23">
        <v>45929</v>
      </c>
      <c r="B148" s="24" t="s">
        <v>175</v>
      </c>
      <c r="C148" s="24">
        <v>327</v>
      </c>
      <c r="D148" s="25" t="str">
        <f t="shared" si="12"/>
        <v>5.8</v>
      </c>
      <c r="E148" s="25">
        <f t="shared" si="13"/>
        <v>1896</v>
      </c>
    </row>
    <row r="149" spans="1:5">
      <c r="A149" s="23">
        <v>45929</v>
      </c>
      <c r="B149" s="24" t="s">
        <v>180</v>
      </c>
      <c r="C149" s="24">
        <v>242</v>
      </c>
      <c r="D149" s="25" t="str">
        <f t="shared" si="12"/>
        <v>5.8</v>
      </c>
      <c r="E149" s="25">
        <f t="shared" si="13"/>
        <v>1403</v>
      </c>
    </row>
    <row r="150" spans="1:5">
      <c r="A150" s="23">
        <v>45929</v>
      </c>
      <c r="B150" s="24" t="s">
        <v>176</v>
      </c>
      <c r="C150" s="24">
        <v>147.93</v>
      </c>
      <c r="D150" s="25" t="str">
        <f t="shared" si="12"/>
        <v>6</v>
      </c>
      <c r="E150" s="25">
        <f t="shared" si="13"/>
        <v>887</v>
      </c>
    </row>
    <row r="151" spans="1:5">
      <c r="A151" s="23">
        <v>45929</v>
      </c>
      <c r="B151" s="24" t="s">
        <v>181</v>
      </c>
      <c r="C151" s="24">
        <v>300</v>
      </c>
      <c r="D151" s="25" t="str">
        <f t="shared" si="12"/>
        <v>5.8</v>
      </c>
      <c r="E151" s="25">
        <f t="shared" si="13"/>
        <v>1740</v>
      </c>
    </row>
    <row r="152" spans="1:5">
      <c r="A152" s="23">
        <v>45929</v>
      </c>
      <c r="B152" s="24" t="s">
        <v>189</v>
      </c>
      <c r="C152" s="24">
        <v>200</v>
      </c>
      <c r="D152" s="25" t="str">
        <f t="shared" si="12"/>
        <v>5.8</v>
      </c>
      <c r="E152" s="25">
        <f t="shared" si="13"/>
        <v>1160</v>
      </c>
    </row>
    <row r="153" spans="1:5">
      <c r="A153" s="23">
        <v>45929</v>
      </c>
      <c r="B153" s="24" t="s">
        <v>174</v>
      </c>
      <c r="C153" s="24">
        <v>290</v>
      </c>
      <c r="D153" s="25" t="str">
        <f t="shared" si="12"/>
        <v>5.8</v>
      </c>
      <c r="E153" s="25">
        <f t="shared" si="13"/>
        <v>1682</v>
      </c>
    </row>
    <row r="154" spans="1:5">
      <c r="A154" s="23">
        <v>45929</v>
      </c>
      <c r="B154" s="24" t="s">
        <v>162</v>
      </c>
      <c r="C154" s="24">
        <v>259.37</v>
      </c>
      <c r="D154" s="25" t="str">
        <f t="shared" si="12"/>
        <v>5.8</v>
      </c>
      <c r="E154" s="25">
        <f t="shared" si="13"/>
        <v>1504</v>
      </c>
    </row>
    <row r="155" spans="1:5">
      <c r="A155" s="23">
        <v>45929</v>
      </c>
      <c r="B155" s="24" t="s">
        <v>191</v>
      </c>
      <c r="C155" s="24">
        <v>200</v>
      </c>
      <c r="D155" s="25" t="str">
        <f t="shared" si="12"/>
        <v>5.8</v>
      </c>
      <c r="E155" s="25">
        <f t="shared" si="13"/>
        <v>1160</v>
      </c>
    </row>
    <row r="156" spans="1:5">
      <c r="A156" s="23">
        <v>45929</v>
      </c>
      <c r="B156" s="24" t="s">
        <v>161</v>
      </c>
      <c r="C156" s="24">
        <v>142.98</v>
      </c>
      <c r="D156" s="25" t="str">
        <f t="shared" si="12"/>
        <v>6</v>
      </c>
      <c r="E156" s="25">
        <f t="shared" si="13"/>
        <v>857</v>
      </c>
    </row>
    <row r="157" spans="1:5">
      <c r="A157" s="23">
        <v>45929</v>
      </c>
      <c r="B157" s="24" t="s">
        <v>190</v>
      </c>
      <c r="C157" s="24">
        <v>301.34</v>
      </c>
      <c r="D157" s="25" t="str">
        <f t="shared" si="12"/>
        <v>5.8</v>
      </c>
      <c r="E157" s="25">
        <f t="shared" si="13"/>
        <v>1747</v>
      </c>
    </row>
    <row r="158" spans="1:5">
      <c r="A158" s="23">
        <v>45929</v>
      </c>
      <c r="B158" s="24" t="s">
        <v>163</v>
      </c>
      <c r="C158" s="24">
        <v>200</v>
      </c>
      <c r="D158" s="25" t="str">
        <f t="shared" si="12"/>
        <v>5.8</v>
      </c>
      <c r="E158" s="25">
        <f t="shared" si="13"/>
        <v>1160</v>
      </c>
    </row>
    <row r="159" spans="1:5">
      <c r="A159" s="23">
        <v>45929</v>
      </c>
      <c r="B159" s="24" t="s">
        <v>168</v>
      </c>
      <c r="C159" s="24">
        <v>200</v>
      </c>
      <c r="D159" s="25" t="str">
        <f t="shared" si="12"/>
        <v>5.8</v>
      </c>
      <c r="E159" s="25">
        <f t="shared" si="13"/>
        <v>1160</v>
      </c>
    </row>
    <row r="160" spans="1:5">
      <c r="A160" s="23">
        <v>45929</v>
      </c>
      <c r="B160" s="24" t="s">
        <v>160</v>
      </c>
      <c r="C160" s="24">
        <v>353.8</v>
      </c>
      <c r="D160" s="25" t="str">
        <f t="shared" si="12"/>
        <v>5.8</v>
      </c>
      <c r="E160" s="25">
        <f t="shared" si="13"/>
        <v>2052</v>
      </c>
    </row>
    <row r="161" spans="1:5">
      <c r="A161" s="23">
        <v>45929</v>
      </c>
      <c r="B161" s="24" t="s">
        <v>167</v>
      </c>
      <c r="C161" s="24">
        <v>238.05</v>
      </c>
      <c r="D161" s="25" t="str">
        <f t="shared" si="12"/>
        <v>5.8</v>
      </c>
      <c r="E161" s="25">
        <f t="shared" si="13"/>
        <v>1380</v>
      </c>
    </row>
    <row r="162" spans="1:5">
      <c r="A162" s="23">
        <v>45929</v>
      </c>
      <c r="B162" s="24" t="s">
        <v>164</v>
      </c>
      <c r="C162" s="24">
        <v>212</v>
      </c>
      <c r="D162" s="25" t="str">
        <f t="shared" si="12"/>
        <v>5.8</v>
      </c>
      <c r="E162" s="25">
        <f t="shared" si="13"/>
        <v>1229</v>
      </c>
    </row>
    <row r="163" spans="1:5">
      <c r="A163" s="23">
        <v>45929</v>
      </c>
      <c r="B163" s="24" t="s">
        <v>165</v>
      </c>
      <c r="C163" s="24">
        <v>560</v>
      </c>
      <c r="D163" s="25" t="str">
        <f t="shared" si="12"/>
        <v>5.8</v>
      </c>
      <c r="E163" s="25">
        <f t="shared" si="13"/>
        <v>3248</v>
      </c>
    </row>
    <row r="164" spans="1:5">
      <c r="A164" s="23">
        <v>45929</v>
      </c>
      <c r="B164" s="24" t="s">
        <v>169</v>
      </c>
      <c r="C164" s="24">
        <v>215</v>
      </c>
      <c r="D164" s="25" t="str">
        <f t="shared" si="12"/>
        <v>5.8</v>
      </c>
      <c r="E164" s="25">
        <f t="shared" si="13"/>
        <v>1247</v>
      </c>
    </row>
    <row r="165" spans="1:5">
      <c r="A165" s="23">
        <v>45929</v>
      </c>
      <c r="B165" s="24" t="s">
        <v>166</v>
      </c>
      <c r="C165" s="24">
        <v>220</v>
      </c>
      <c r="D165" s="25" t="str">
        <f t="shared" si="12"/>
        <v>5.8</v>
      </c>
      <c r="E165" s="25">
        <f t="shared" si="13"/>
        <v>1276</v>
      </c>
    </row>
    <row r="166" spans="1:5">
      <c r="A166" s="23">
        <v>45929</v>
      </c>
      <c r="B166" s="24" t="s">
        <v>171</v>
      </c>
      <c r="C166" s="24">
        <v>500</v>
      </c>
      <c r="D166" s="25" t="str">
        <f t="shared" si="12"/>
        <v>5.8</v>
      </c>
      <c r="E166" s="25">
        <f t="shared" si="13"/>
        <v>2900</v>
      </c>
    </row>
    <row r="167" spans="1:5">
      <c r="A167" s="23">
        <v>45929</v>
      </c>
      <c r="B167" s="24" t="s">
        <v>172</v>
      </c>
      <c r="C167" s="24">
        <v>431.31</v>
      </c>
      <c r="D167" s="25" t="str">
        <f t="shared" si="12"/>
        <v>5.8</v>
      </c>
      <c r="E167" s="25">
        <f t="shared" si="13"/>
        <v>2501</v>
      </c>
    </row>
    <row r="168" spans="1:5">
      <c r="A168" s="23">
        <v>45929</v>
      </c>
      <c r="B168" s="24" t="s">
        <v>173</v>
      </c>
      <c r="C168" s="24">
        <v>200</v>
      </c>
      <c r="D168" s="25" t="str">
        <f t="shared" si="12"/>
        <v>5.8</v>
      </c>
      <c r="E168" s="25">
        <f t="shared" si="13"/>
        <v>1160</v>
      </c>
    </row>
    <row r="169" spans="1:5">
      <c r="A169" s="23">
        <v>45929</v>
      </c>
      <c r="B169" s="24" t="s">
        <v>180</v>
      </c>
      <c r="C169" s="24">
        <v>243.69</v>
      </c>
      <c r="D169" s="25" t="str">
        <f t="shared" si="12"/>
        <v>5.8</v>
      </c>
      <c r="E169" s="25">
        <f t="shared" si="13"/>
        <v>1413</v>
      </c>
    </row>
    <row r="170" spans="1:5">
      <c r="A170" s="23">
        <v>45929</v>
      </c>
      <c r="B170" s="24" t="s">
        <v>181</v>
      </c>
      <c r="C170" s="24">
        <v>200</v>
      </c>
      <c r="D170" s="25" t="str">
        <f t="shared" si="12"/>
        <v>5.8</v>
      </c>
      <c r="E170" s="25">
        <f t="shared" si="13"/>
        <v>1160</v>
      </c>
    </row>
    <row r="171" spans="1:5">
      <c r="A171" s="23">
        <v>45930</v>
      </c>
      <c r="B171" s="24" t="s">
        <v>191</v>
      </c>
      <c r="C171" s="24">
        <v>321.03</v>
      </c>
      <c r="D171" s="25" t="str">
        <f t="shared" si="12"/>
        <v>5.8</v>
      </c>
      <c r="E171" s="25">
        <f t="shared" si="13"/>
        <v>1861</v>
      </c>
    </row>
    <row r="172" spans="1:5">
      <c r="A172" s="23">
        <v>45930</v>
      </c>
      <c r="B172" s="24" t="s">
        <v>160</v>
      </c>
      <c r="C172" s="24">
        <v>206.82</v>
      </c>
      <c r="D172" s="25" t="str">
        <f t="shared" si="12"/>
        <v>5.8</v>
      </c>
      <c r="E172" s="25">
        <f t="shared" si="13"/>
        <v>1199</v>
      </c>
    </row>
    <row r="173" spans="1:5">
      <c r="A173" s="23">
        <v>45930</v>
      </c>
      <c r="B173" s="24" t="s">
        <v>190</v>
      </c>
      <c r="C173" s="24">
        <v>300</v>
      </c>
      <c r="D173" s="25" t="str">
        <f t="shared" si="12"/>
        <v>5.8</v>
      </c>
      <c r="E173" s="25">
        <f t="shared" si="13"/>
        <v>1740</v>
      </c>
    </row>
    <row r="174" spans="1:5">
      <c r="A174" s="23">
        <v>45930</v>
      </c>
      <c r="B174" s="24" t="s">
        <v>163</v>
      </c>
      <c r="C174" s="24">
        <v>319.49</v>
      </c>
      <c r="D174" s="25" t="str">
        <f t="shared" si="12"/>
        <v>5.8</v>
      </c>
      <c r="E174" s="25">
        <f t="shared" si="13"/>
        <v>1853</v>
      </c>
    </row>
    <row r="175" spans="1:5">
      <c r="A175" s="23">
        <v>45930</v>
      </c>
      <c r="B175" s="24" t="s">
        <v>165</v>
      </c>
      <c r="C175" s="24">
        <v>270.27</v>
      </c>
      <c r="D175" s="25" t="str">
        <f t="shared" si="12"/>
        <v>5.8</v>
      </c>
      <c r="E175" s="25">
        <f t="shared" si="13"/>
        <v>1567</v>
      </c>
    </row>
    <row r="176" spans="1:5">
      <c r="A176" s="23">
        <v>45930</v>
      </c>
      <c r="B176" s="24" t="s">
        <v>168</v>
      </c>
      <c r="C176" s="24">
        <v>366.2</v>
      </c>
      <c r="D176" s="25" t="str">
        <f t="shared" si="12"/>
        <v>5.8</v>
      </c>
      <c r="E176" s="25">
        <f t="shared" si="13"/>
        <v>2123</v>
      </c>
    </row>
    <row r="177" spans="1:5">
      <c r="A177" s="23">
        <v>45930</v>
      </c>
      <c r="B177" s="24" t="s">
        <v>165</v>
      </c>
      <c r="C177" s="24">
        <v>350</v>
      </c>
      <c r="D177" s="25" t="str">
        <f t="shared" si="12"/>
        <v>5.8</v>
      </c>
      <c r="E177" s="25">
        <f t="shared" si="13"/>
        <v>2030</v>
      </c>
    </row>
    <row r="178" spans="1:5">
      <c r="A178" s="23">
        <v>45930</v>
      </c>
      <c r="B178" s="24" t="s">
        <v>169</v>
      </c>
      <c r="C178" s="24">
        <v>151.76</v>
      </c>
      <c r="D178" s="25" t="str">
        <f t="shared" si="12"/>
        <v>6</v>
      </c>
      <c r="E178" s="25">
        <f t="shared" si="13"/>
        <v>910</v>
      </c>
    </row>
    <row r="179" spans="1:5">
      <c r="A179" s="23">
        <v>45930</v>
      </c>
      <c r="B179" s="24" t="s">
        <v>171</v>
      </c>
      <c r="C179" s="24">
        <v>300</v>
      </c>
      <c r="D179" s="25" t="str">
        <f t="shared" si="12"/>
        <v>5.8</v>
      </c>
      <c r="E179" s="25">
        <f t="shared" si="13"/>
        <v>1740</v>
      </c>
    </row>
    <row r="180" spans="1:5">
      <c r="A180" s="23">
        <v>45930</v>
      </c>
      <c r="B180" s="24" t="s">
        <v>172</v>
      </c>
      <c r="C180" s="24">
        <v>135.79</v>
      </c>
      <c r="D180" s="25" t="str">
        <f t="shared" si="12"/>
        <v>6</v>
      </c>
      <c r="E180" s="25">
        <f t="shared" si="13"/>
        <v>814</v>
      </c>
    </row>
    <row r="181" spans="1:5">
      <c r="A181" s="23">
        <v>45930</v>
      </c>
      <c r="B181" s="24" t="s">
        <v>166</v>
      </c>
      <c r="C181" s="24">
        <v>324.13</v>
      </c>
      <c r="D181" s="25" t="str">
        <f t="shared" si="12"/>
        <v>5.8</v>
      </c>
      <c r="E181" s="25">
        <f t="shared" si="13"/>
        <v>1879</v>
      </c>
    </row>
    <row r="182" spans="1:5">
      <c r="A182" s="23">
        <v>45931</v>
      </c>
      <c r="B182" s="24" t="s">
        <v>190</v>
      </c>
      <c r="C182" s="24">
        <v>300</v>
      </c>
      <c r="D182" s="25" t="str">
        <f t="shared" si="12"/>
        <v>5.8</v>
      </c>
      <c r="E182" s="25">
        <f t="shared" si="13"/>
        <v>1740</v>
      </c>
    </row>
    <row r="183" spans="1:5">
      <c r="A183" s="23">
        <v>45931</v>
      </c>
      <c r="B183" s="24" t="s">
        <v>160</v>
      </c>
      <c r="C183" s="24">
        <v>307</v>
      </c>
      <c r="D183" s="25" t="str">
        <f t="shared" si="12"/>
        <v>5.8</v>
      </c>
      <c r="E183" s="25">
        <f t="shared" si="13"/>
        <v>1780</v>
      </c>
    </row>
    <row r="184" spans="1:5">
      <c r="A184" s="23">
        <v>45931</v>
      </c>
      <c r="B184" s="24" t="s">
        <v>164</v>
      </c>
      <c r="C184" s="24">
        <v>370</v>
      </c>
      <c r="D184" s="25" t="str">
        <f t="shared" si="12"/>
        <v>5.8</v>
      </c>
      <c r="E184" s="25">
        <f t="shared" si="13"/>
        <v>2146</v>
      </c>
    </row>
    <row r="185" spans="1:5">
      <c r="A185" s="23">
        <v>45931</v>
      </c>
      <c r="B185" s="24" t="s">
        <v>172</v>
      </c>
      <c r="C185" s="24">
        <v>207.67</v>
      </c>
      <c r="D185" s="25" t="str">
        <f t="shared" si="12"/>
        <v>5.8</v>
      </c>
      <c r="E185" s="25">
        <f t="shared" si="13"/>
        <v>1204</v>
      </c>
    </row>
    <row r="186" spans="1:5">
      <c r="A186" s="23">
        <v>45931</v>
      </c>
      <c r="B186" s="24" t="s">
        <v>165</v>
      </c>
      <c r="C186" s="24">
        <v>200</v>
      </c>
      <c r="D186" s="25" t="str">
        <f t="shared" si="12"/>
        <v>5.8</v>
      </c>
      <c r="E186" s="25">
        <f t="shared" si="13"/>
        <v>1160</v>
      </c>
    </row>
    <row r="187" spans="1:5">
      <c r="A187" s="23">
        <v>45931</v>
      </c>
      <c r="B187" s="24" t="s">
        <v>166</v>
      </c>
      <c r="C187" s="24">
        <v>300</v>
      </c>
      <c r="D187" s="25" t="str">
        <f t="shared" si="12"/>
        <v>5.8</v>
      </c>
      <c r="E187" s="25">
        <f t="shared" si="13"/>
        <v>1740</v>
      </c>
    </row>
    <row r="188" spans="1:5">
      <c r="A188" s="23">
        <v>45931</v>
      </c>
      <c r="B188" s="24" t="s">
        <v>173</v>
      </c>
      <c r="C188" s="24">
        <v>370.01</v>
      </c>
      <c r="D188" s="25" t="str">
        <f t="shared" si="12"/>
        <v>5.8</v>
      </c>
      <c r="E188" s="25">
        <f t="shared" si="13"/>
        <v>2146</v>
      </c>
    </row>
  </sheetData>
  <mergeCells count="1">
    <mergeCell ref="B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workbookViewId="0">
      <selection activeCell="A1" sqref="A1:G9"/>
    </sheetView>
  </sheetViews>
  <sheetFormatPr defaultColWidth="9" defaultRowHeight="14.25"/>
  <cols>
    <col min="1" max="1" width="9.86666666666667" customWidth="1"/>
    <col min="4" max="4" width="11.2" customWidth="1"/>
  </cols>
  <sheetData>
    <row r="1" ht="37.5" spans="1:10">
      <c r="A1" s="4" t="s">
        <v>0</v>
      </c>
      <c r="B1" s="5" t="s">
        <v>192</v>
      </c>
      <c r="C1" s="6"/>
      <c r="D1" s="7"/>
      <c r="E1" s="8"/>
      <c r="F1" s="9" t="s">
        <v>125</v>
      </c>
      <c r="G1" s="9"/>
      <c r="H1" s="10"/>
      <c r="I1" s="10"/>
      <c r="J1" s="1" t="s">
        <v>3</v>
      </c>
    </row>
    <row r="2" spans="1:10">
      <c r="A2" s="10" t="s">
        <v>193</v>
      </c>
      <c r="B2" s="11" t="s">
        <v>194</v>
      </c>
      <c r="C2" s="10" t="s">
        <v>195</v>
      </c>
      <c r="D2" s="11" t="s">
        <v>196</v>
      </c>
      <c r="E2" s="10" t="s">
        <v>197</v>
      </c>
      <c r="F2" s="12"/>
      <c r="G2" s="12"/>
      <c r="H2" s="10"/>
      <c r="I2" s="10"/>
      <c r="J2" s="10" t="str" cm="1">
        <f t="array" ref="J2:J21">_xlfn.TOCOL(A2:E5)</f>
        <v>皖KP7715</v>
      </c>
    </row>
    <row r="3" spans="1:10">
      <c r="A3" s="13" t="s">
        <v>198</v>
      </c>
      <c r="B3" s="12" t="s">
        <v>199</v>
      </c>
      <c r="C3" s="12" t="s">
        <v>200</v>
      </c>
      <c r="D3" s="14" t="s">
        <v>201</v>
      </c>
      <c r="E3" s="14" t="s">
        <v>202</v>
      </c>
      <c r="F3" s="14"/>
      <c r="G3" s="14"/>
      <c r="H3" s="10"/>
      <c r="I3" s="10"/>
      <c r="J3" s="10" t="str">
        <v>赣C3H653</v>
      </c>
    </row>
    <row r="4" spans="1:10">
      <c r="A4" s="15" t="s">
        <v>203</v>
      </c>
      <c r="B4" s="14" t="s">
        <v>204</v>
      </c>
      <c r="C4" s="16" t="s">
        <v>205</v>
      </c>
      <c r="D4" s="14" t="s">
        <v>206</v>
      </c>
      <c r="E4" s="14" t="s">
        <v>207</v>
      </c>
      <c r="F4" s="14"/>
      <c r="G4" s="14"/>
      <c r="H4" s="10"/>
      <c r="I4" s="10"/>
      <c r="J4" s="10" t="str">
        <v>皖KW8201</v>
      </c>
    </row>
    <row r="5" spans="1:10">
      <c r="A5" s="17" t="s">
        <v>208</v>
      </c>
      <c r="B5" s="18" t="s">
        <v>209</v>
      </c>
      <c r="C5" s="19" t="s">
        <v>210</v>
      </c>
      <c r="D5" s="14"/>
      <c r="E5" s="14"/>
      <c r="F5" s="14"/>
      <c r="G5" s="14"/>
      <c r="H5" s="10"/>
      <c r="I5" s="10"/>
      <c r="J5" s="10" t="str">
        <v>赣C7575X</v>
      </c>
    </row>
    <row r="6" spans="1:10">
      <c r="A6" s="15"/>
      <c r="B6" s="14"/>
      <c r="C6" s="16"/>
      <c r="D6" s="14"/>
      <c r="E6" s="14"/>
      <c r="F6" s="14"/>
      <c r="G6" s="14"/>
      <c r="H6" s="10"/>
      <c r="I6" s="10"/>
      <c r="J6" s="10" t="str">
        <v>粤VR2409</v>
      </c>
    </row>
    <row r="7" spans="1:10">
      <c r="A7" s="15"/>
      <c r="B7" s="14"/>
      <c r="C7" s="16"/>
      <c r="D7" s="14"/>
      <c r="E7" s="14"/>
      <c r="F7" s="14"/>
      <c r="G7" s="14"/>
      <c r="H7" s="10"/>
      <c r="I7" s="10"/>
      <c r="J7" s="10" t="str">
        <v>赣M86120</v>
      </c>
    </row>
    <row r="8" spans="1:10">
      <c r="A8" s="15"/>
      <c r="B8" s="14"/>
      <c r="C8" s="16"/>
      <c r="D8" s="14"/>
      <c r="E8" s="14"/>
      <c r="F8" s="14"/>
      <c r="G8" s="14"/>
      <c r="H8" s="10"/>
      <c r="I8" s="10"/>
      <c r="J8" s="10" t="str">
        <v>贵A74VZ8</v>
      </c>
    </row>
    <row r="9" spans="1:10">
      <c r="A9" s="15"/>
      <c r="B9" s="14"/>
      <c r="C9" s="16"/>
      <c r="D9" s="14"/>
      <c r="E9" s="14"/>
      <c r="F9" s="14"/>
      <c r="G9" s="14"/>
      <c r="H9" s="10"/>
      <c r="I9" s="10"/>
      <c r="J9" s="10" t="str">
        <v>闽B2K858</v>
      </c>
    </row>
    <row r="10" spans="1:10">
      <c r="A10" s="10"/>
      <c r="B10" s="10"/>
      <c r="C10" s="10"/>
      <c r="D10" s="10"/>
      <c r="E10" s="10"/>
      <c r="F10" s="10"/>
      <c r="G10" s="10"/>
      <c r="H10" s="10"/>
      <c r="I10" s="10"/>
      <c r="J10" s="10" t="str">
        <v>皖KRM68挂</v>
      </c>
    </row>
    <row r="11" spans="1:10">
      <c r="A11" s="20" t="s">
        <v>28</v>
      </c>
      <c r="B11" s="21" t="s">
        <v>29</v>
      </c>
      <c r="C11" s="22" t="s">
        <v>30</v>
      </c>
      <c r="D11" s="21" t="s">
        <v>31</v>
      </c>
      <c r="E11" s="21" t="s">
        <v>32</v>
      </c>
      <c r="F11" s="21" t="s">
        <v>33</v>
      </c>
      <c r="G11" s="21" t="s">
        <v>34</v>
      </c>
      <c r="H11" s="10"/>
      <c r="I11" s="10"/>
      <c r="J11" s="10" t="str">
        <v>皖KX2709</v>
      </c>
    </row>
    <row r="12" spans="1:10">
      <c r="A12" s="23">
        <v>45923</v>
      </c>
      <c r="B12" s="24" t="s">
        <v>211</v>
      </c>
      <c r="C12" s="24">
        <v>100</v>
      </c>
      <c r="D12" s="25" t="str">
        <f t="shared" ref="D12" si="0">IF(C12&gt;=200,"5.8",IF(C12&lt;200,"6"))</f>
        <v>6</v>
      </c>
      <c r="E12" s="25">
        <f t="shared" ref="E12" si="1">INT(C12*D12)</f>
        <v>600</v>
      </c>
      <c r="F12" s="26"/>
      <c r="G12" s="26"/>
      <c r="J12" t="str">
        <v>皖KZ1233</v>
      </c>
    </row>
    <row r="13" spans="1:10">
      <c r="A13" s="23">
        <v>45923</v>
      </c>
      <c r="B13" s="24" t="s">
        <v>212</v>
      </c>
      <c r="C13" s="24">
        <v>212.06</v>
      </c>
      <c r="D13" s="25" t="str">
        <f t="shared" ref="D13:D40" si="2">IF(C13&gt;=200,"5.8",IF(C13&lt;200,"6"))</f>
        <v>5.8</v>
      </c>
      <c r="E13" s="25">
        <f t="shared" ref="E13:E40" si="3">INT(C13*D13)</f>
        <v>1229</v>
      </c>
      <c r="F13" s="26"/>
      <c r="G13" s="26" t="s">
        <v>213</v>
      </c>
      <c r="J13" t="str">
        <v>皖KZ3529</v>
      </c>
    </row>
    <row r="14" spans="1:10">
      <c r="A14" s="23">
        <v>45923</v>
      </c>
      <c r="B14" s="24" t="s">
        <v>214</v>
      </c>
      <c r="C14" s="24">
        <v>303.52</v>
      </c>
      <c r="D14" s="25" t="str">
        <f t="shared" si="2"/>
        <v>5.8</v>
      </c>
      <c r="E14" s="25">
        <f t="shared" si="3"/>
        <v>1760</v>
      </c>
      <c r="F14" s="26"/>
      <c r="G14" s="26"/>
      <c r="J14" t="str">
        <v>皖SG4590</v>
      </c>
    </row>
    <row r="15" spans="1:10">
      <c r="A15" s="23">
        <v>45923</v>
      </c>
      <c r="B15" s="24" t="s">
        <v>215</v>
      </c>
      <c r="C15" s="24">
        <v>368</v>
      </c>
      <c r="D15" s="25" t="str">
        <f t="shared" si="2"/>
        <v>5.8</v>
      </c>
      <c r="E15" s="25">
        <f t="shared" si="3"/>
        <v>2134</v>
      </c>
      <c r="F15" s="26"/>
      <c r="G15" s="26"/>
      <c r="J15" t="str">
        <v>湘AP9126</v>
      </c>
    </row>
    <row r="16" spans="1:10">
      <c r="A16" s="23">
        <v>45923</v>
      </c>
      <c r="B16" s="24" t="s">
        <v>216</v>
      </c>
      <c r="C16" s="24">
        <v>770</v>
      </c>
      <c r="D16" s="25" t="str">
        <f t="shared" si="2"/>
        <v>5.8</v>
      </c>
      <c r="E16" s="25">
        <f t="shared" si="3"/>
        <v>4466</v>
      </c>
      <c r="F16" s="26"/>
      <c r="G16" s="26"/>
      <c r="J16" t="str">
        <v>湘DB2132</v>
      </c>
    </row>
    <row r="17" spans="1:10">
      <c r="A17" s="23">
        <v>45923</v>
      </c>
      <c r="B17" s="24" t="s">
        <v>217</v>
      </c>
      <c r="C17" s="24">
        <v>300</v>
      </c>
      <c r="D17" s="25" t="str">
        <f t="shared" si="2"/>
        <v>5.8</v>
      </c>
      <c r="E17" s="25">
        <f t="shared" si="3"/>
        <v>1740</v>
      </c>
      <c r="F17" s="26"/>
      <c r="G17" s="26"/>
      <c r="J17" t="str">
        <v>赣C2565J</v>
      </c>
    </row>
    <row r="18" spans="1:10">
      <c r="A18" s="23">
        <v>45923</v>
      </c>
      <c r="B18" s="24" t="s">
        <v>218</v>
      </c>
      <c r="C18" s="24">
        <v>325.64</v>
      </c>
      <c r="D18" s="25" t="str">
        <f t="shared" si="2"/>
        <v>5.8</v>
      </c>
      <c r="E18" s="25">
        <f t="shared" si="3"/>
        <v>1888</v>
      </c>
      <c r="F18" s="26"/>
      <c r="G18" s="26"/>
      <c r="J18" t="str">
        <v>赣CDD192</v>
      </c>
    </row>
    <row r="19" spans="1:10">
      <c r="A19" s="23">
        <v>45923</v>
      </c>
      <c r="B19" s="24" t="s">
        <v>219</v>
      </c>
      <c r="C19" s="24">
        <v>530.28</v>
      </c>
      <c r="D19" s="25" t="str">
        <f t="shared" si="2"/>
        <v>5.8</v>
      </c>
      <c r="E19" s="25">
        <f t="shared" si="3"/>
        <v>3075</v>
      </c>
      <c r="F19" s="26"/>
      <c r="G19" s="26"/>
      <c r="J19" t="str">
        <v>赣C5D457</v>
      </c>
    </row>
    <row r="20" spans="1:10">
      <c r="A20" s="23">
        <v>45923</v>
      </c>
      <c r="B20" s="24" t="s">
        <v>220</v>
      </c>
      <c r="C20" s="24">
        <v>515</v>
      </c>
      <c r="D20" s="25" t="str">
        <f t="shared" si="2"/>
        <v>5.8</v>
      </c>
      <c r="E20" s="25">
        <f t="shared" si="3"/>
        <v>2987</v>
      </c>
      <c r="F20" s="26"/>
      <c r="G20" s="26"/>
      <c r="J20">
        <v>0</v>
      </c>
    </row>
    <row r="21" spans="1:10">
      <c r="A21" s="23">
        <v>45923</v>
      </c>
      <c r="B21" s="24" t="s">
        <v>221</v>
      </c>
      <c r="C21" s="24">
        <v>550</v>
      </c>
      <c r="D21" s="25" t="str">
        <f t="shared" si="2"/>
        <v>5.8</v>
      </c>
      <c r="E21" s="25">
        <f t="shared" si="3"/>
        <v>3190</v>
      </c>
      <c r="F21" s="26"/>
      <c r="G21" s="26"/>
      <c r="J21">
        <v>0</v>
      </c>
    </row>
    <row r="22" spans="1:7">
      <c r="A22" s="23">
        <v>45923</v>
      </c>
      <c r="B22" s="24" t="s">
        <v>222</v>
      </c>
      <c r="C22" s="24">
        <v>300</v>
      </c>
      <c r="D22" s="25" t="str">
        <f t="shared" si="2"/>
        <v>5.8</v>
      </c>
      <c r="E22" s="25">
        <f t="shared" si="3"/>
        <v>1740</v>
      </c>
      <c r="F22" s="26"/>
      <c r="G22" s="26"/>
    </row>
    <row r="23" spans="1:7">
      <c r="A23" s="23">
        <v>45923</v>
      </c>
      <c r="B23" s="24" t="s">
        <v>223</v>
      </c>
      <c r="C23" s="24">
        <v>420</v>
      </c>
      <c r="D23" s="25" t="str">
        <f t="shared" si="2"/>
        <v>5.8</v>
      </c>
      <c r="E23" s="25">
        <f t="shared" si="3"/>
        <v>2436</v>
      </c>
      <c r="F23" s="26"/>
      <c r="G23" s="26"/>
    </row>
    <row r="24" spans="1:7">
      <c r="A24" s="23">
        <v>45923</v>
      </c>
      <c r="B24" s="24" t="s">
        <v>224</v>
      </c>
      <c r="C24" s="24">
        <v>356.11</v>
      </c>
      <c r="D24" s="25" t="str">
        <f t="shared" si="2"/>
        <v>5.8</v>
      </c>
      <c r="E24" s="25">
        <f t="shared" si="3"/>
        <v>2065</v>
      </c>
      <c r="F24" s="26"/>
      <c r="G24" s="26"/>
    </row>
    <row r="25" spans="1:7">
      <c r="A25" s="23">
        <v>45924</v>
      </c>
      <c r="B25" s="24" t="s">
        <v>221</v>
      </c>
      <c r="C25" s="24">
        <v>535.02</v>
      </c>
      <c r="D25" s="25" t="str">
        <f t="shared" si="2"/>
        <v>5.8</v>
      </c>
      <c r="E25" s="25">
        <f t="shared" si="3"/>
        <v>3103</v>
      </c>
      <c r="F25" s="26"/>
      <c r="G25" s="26"/>
    </row>
    <row r="26" spans="1:7">
      <c r="A26" s="23">
        <v>45924</v>
      </c>
      <c r="B26" s="24" t="s">
        <v>222</v>
      </c>
      <c r="C26" s="24">
        <v>545</v>
      </c>
      <c r="D26" s="25" t="str">
        <f t="shared" si="2"/>
        <v>5.8</v>
      </c>
      <c r="E26" s="25">
        <f t="shared" si="3"/>
        <v>3161</v>
      </c>
      <c r="F26" s="26"/>
      <c r="G26" s="26"/>
    </row>
    <row r="27" spans="1:7">
      <c r="A27" s="23">
        <v>45924</v>
      </c>
      <c r="B27" s="24" t="s">
        <v>224</v>
      </c>
      <c r="C27" s="24">
        <v>460.03</v>
      </c>
      <c r="D27" s="25" t="str">
        <f t="shared" si="2"/>
        <v>5.8</v>
      </c>
      <c r="E27" s="25">
        <f t="shared" si="3"/>
        <v>2668</v>
      </c>
      <c r="F27" s="26"/>
      <c r="G27" s="26"/>
    </row>
    <row r="28" spans="1:7">
      <c r="A28" s="23">
        <v>45925</v>
      </c>
      <c r="B28" s="24" t="s">
        <v>222</v>
      </c>
      <c r="C28" s="24">
        <v>271</v>
      </c>
      <c r="D28" s="25" t="str">
        <f t="shared" si="2"/>
        <v>5.8</v>
      </c>
      <c r="E28" s="25">
        <f t="shared" si="3"/>
        <v>1571</v>
      </c>
      <c r="F28" s="26"/>
      <c r="G28" s="26" t="s">
        <v>213</v>
      </c>
    </row>
    <row r="29" spans="1:7">
      <c r="A29" s="23">
        <v>45925</v>
      </c>
      <c r="B29" s="24" t="s">
        <v>223</v>
      </c>
      <c r="C29" s="24">
        <v>500</v>
      </c>
      <c r="D29" s="25" t="str">
        <f t="shared" si="2"/>
        <v>5.8</v>
      </c>
      <c r="E29" s="25">
        <f t="shared" si="3"/>
        <v>2900</v>
      </c>
      <c r="F29" s="26"/>
      <c r="G29" s="26"/>
    </row>
    <row r="30" spans="1:7">
      <c r="A30" s="23">
        <v>45925</v>
      </c>
      <c r="B30" s="24" t="s">
        <v>211</v>
      </c>
      <c r="C30" s="24">
        <v>260</v>
      </c>
      <c r="D30" s="25" t="str">
        <f t="shared" si="2"/>
        <v>5.8</v>
      </c>
      <c r="E30" s="25">
        <f t="shared" si="3"/>
        <v>1508</v>
      </c>
      <c r="F30" s="26"/>
      <c r="G30" s="26"/>
    </row>
    <row r="31" spans="1:7">
      <c r="A31" s="23">
        <v>45925</v>
      </c>
      <c r="B31" s="24" t="s">
        <v>219</v>
      </c>
      <c r="C31" s="24">
        <v>571</v>
      </c>
      <c r="D31" s="25" t="str">
        <f t="shared" si="2"/>
        <v>5.8</v>
      </c>
      <c r="E31" s="25">
        <f t="shared" si="3"/>
        <v>3311</v>
      </c>
      <c r="F31" s="26"/>
      <c r="G31" s="26"/>
    </row>
    <row r="32" spans="1:7">
      <c r="A32" s="23">
        <v>45925</v>
      </c>
      <c r="B32" s="24" t="s">
        <v>225</v>
      </c>
      <c r="C32" s="24">
        <v>300</v>
      </c>
      <c r="D32" s="25" t="str">
        <f t="shared" si="2"/>
        <v>5.8</v>
      </c>
      <c r="E32" s="25">
        <f t="shared" si="3"/>
        <v>1740</v>
      </c>
      <c r="F32" s="26"/>
      <c r="G32" s="26"/>
    </row>
    <row r="33" spans="1:7">
      <c r="A33" s="23">
        <v>45925</v>
      </c>
      <c r="B33" s="24" t="s">
        <v>218</v>
      </c>
      <c r="C33" s="24">
        <v>574.12</v>
      </c>
      <c r="D33" s="25" t="str">
        <f t="shared" si="2"/>
        <v>5.8</v>
      </c>
      <c r="E33" s="25">
        <f t="shared" si="3"/>
        <v>3329</v>
      </c>
      <c r="F33" s="26"/>
      <c r="G33" s="26"/>
    </row>
    <row r="34" spans="1:7">
      <c r="A34" s="23">
        <v>45925</v>
      </c>
      <c r="B34" s="24" t="s">
        <v>224</v>
      </c>
      <c r="C34" s="24">
        <v>200</v>
      </c>
      <c r="D34" s="25" t="str">
        <f t="shared" si="2"/>
        <v>5.8</v>
      </c>
      <c r="E34" s="25">
        <f t="shared" si="3"/>
        <v>1160</v>
      </c>
      <c r="F34" s="26"/>
      <c r="G34" s="26"/>
    </row>
    <row r="35" spans="1:7">
      <c r="A35" s="23">
        <v>45925</v>
      </c>
      <c r="B35" s="24" t="s">
        <v>212</v>
      </c>
      <c r="C35" s="24">
        <v>395.42</v>
      </c>
      <c r="D35" s="25" t="str">
        <f t="shared" si="2"/>
        <v>5.8</v>
      </c>
      <c r="E35" s="25">
        <f t="shared" si="3"/>
        <v>2293</v>
      </c>
      <c r="F35" s="26"/>
      <c r="G35" s="26"/>
    </row>
    <row r="36" spans="1:7">
      <c r="A36" s="23">
        <v>45925</v>
      </c>
      <c r="B36" s="24" t="s">
        <v>220</v>
      </c>
      <c r="C36" s="24">
        <v>367.58</v>
      </c>
      <c r="D36" s="25" t="str">
        <f t="shared" si="2"/>
        <v>5.8</v>
      </c>
      <c r="E36" s="25">
        <f t="shared" si="3"/>
        <v>2131</v>
      </c>
      <c r="F36" s="26"/>
      <c r="G36" s="26"/>
    </row>
    <row r="37" spans="1:7">
      <c r="A37" s="23">
        <v>45925</v>
      </c>
      <c r="B37" s="24" t="s">
        <v>215</v>
      </c>
      <c r="C37" s="24">
        <v>246</v>
      </c>
      <c r="D37" s="25" t="str">
        <f t="shared" si="2"/>
        <v>5.8</v>
      </c>
      <c r="E37" s="25">
        <f t="shared" si="3"/>
        <v>1426</v>
      </c>
      <c r="F37" s="26"/>
      <c r="G37" s="26"/>
    </row>
    <row r="38" spans="1:7">
      <c r="A38" s="23">
        <v>45925</v>
      </c>
      <c r="B38" s="24" t="s">
        <v>214</v>
      </c>
      <c r="C38" s="24">
        <v>470</v>
      </c>
      <c r="D38" s="25" t="str">
        <f t="shared" si="2"/>
        <v>5.8</v>
      </c>
      <c r="E38" s="25">
        <f t="shared" si="3"/>
        <v>2726</v>
      </c>
      <c r="F38" s="26"/>
      <c r="G38" s="26"/>
    </row>
    <row r="39" spans="1:7">
      <c r="A39" s="23">
        <v>45925</v>
      </c>
      <c r="B39" s="24" t="s">
        <v>216</v>
      </c>
      <c r="C39" s="24">
        <v>288.47</v>
      </c>
      <c r="D39" s="25" t="str">
        <f t="shared" si="2"/>
        <v>5.8</v>
      </c>
      <c r="E39" s="25">
        <f t="shared" si="3"/>
        <v>1673</v>
      </c>
      <c r="F39" s="26"/>
      <c r="G39" s="26"/>
    </row>
    <row r="40" spans="1:7">
      <c r="A40" s="23">
        <v>45925</v>
      </c>
      <c r="B40" s="24" t="s">
        <v>217</v>
      </c>
      <c r="C40" s="24">
        <v>237</v>
      </c>
      <c r="D40" s="25" t="str">
        <f t="shared" si="2"/>
        <v>5.8</v>
      </c>
      <c r="E40" s="25">
        <f t="shared" si="3"/>
        <v>1374</v>
      </c>
      <c r="F40" s="26"/>
      <c r="G40" s="26"/>
    </row>
    <row r="41" spans="1:7">
      <c r="A41" s="23"/>
      <c r="B41" s="24"/>
      <c r="C41" s="24"/>
      <c r="D41" s="25"/>
      <c r="E41" s="25"/>
      <c r="F41" s="26"/>
      <c r="G41" s="26"/>
    </row>
    <row r="42" spans="1:7">
      <c r="A42" s="23">
        <v>45926</v>
      </c>
      <c r="B42" s="24" t="s">
        <v>214</v>
      </c>
      <c r="C42" s="24">
        <v>282.38</v>
      </c>
      <c r="D42" s="25" t="str">
        <f t="shared" ref="D42:D82" si="4">IF(C42&gt;=200,"5.8",IF(C42&lt;200,"6"))</f>
        <v>5.8</v>
      </c>
      <c r="E42" s="25">
        <f t="shared" ref="E42:E82" si="5">INT(C42*D42)</f>
        <v>1637</v>
      </c>
      <c r="F42" s="26"/>
      <c r="G42" s="26"/>
    </row>
    <row r="43" spans="1:7">
      <c r="A43" s="23">
        <v>45926</v>
      </c>
      <c r="B43" s="24" t="s">
        <v>219</v>
      </c>
      <c r="C43" s="24">
        <v>342.01</v>
      </c>
      <c r="D43" s="25" t="str">
        <f t="shared" si="4"/>
        <v>5.8</v>
      </c>
      <c r="E43" s="25">
        <f t="shared" si="5"/>
        <v>1983</v>
      </c>
      <c r="F43" s="26"/>
      <c r="G43" s="26"/>
    </row>
    <row r="44" spans="1:7">
      <c r="A44" s="23">
        <v>45926</v>
      </c>
      <c r="B44" s="24" t="s">
        <v>226</v>
      </c>
      <c r="C44" s="24">
        <v>450</v>
      </c>
      <c r="D44" s="25" t="str">
        <f t="shared" si="4"/>
        <v>5.8</v>
      </c>
      <c r="E44" s="25">
        <f t="shared" si="5"/>
        <v>2610</v>
      </c>
      <c r="F44" s="26"/>
      <c r="G44" s="26"/>
    </row>
    <row r="45" spans="1:7">
      <c r="A45" s="23">
        <v>45926</v>
      </c>
      <c r="B45" s="24" t="s">
        <v>225</v>
      </c>
      <c r="C45" s="24">
        <v>300</v>
      </c>
      <c r="D45" s="25" t="str">
        <f t="shared" si="4"/>
        <v>5.8</v>
      </c>
      <c r="E45" s="25">
        <f t="shared" si="5"/>
        <v>1740</v>
      </c>
      <c r="F45" s="26"/>
      <c r="G45" s="26"/>
    </row>
    <row r="46" spans="1:7">
      <c r="A46" s="23">
        <v>45926</v>
      </c>
      <c r="B46" s="24" t="s">
        <v>218</v>
      </c>
      <c r="C46" s="24">
        <v>250</v>
      </c>
      <c r="D46" s="25" t="str">
        <f t="shared" si="4"/>
        <v>5.8</v>
      </c>
      <c r="E46" s="25">
        <f t="shared" si="5"/>
        <v>1450</v>
      </c>
      <c r="F46" s="26"/>
      <c r="G46" s="26"/>
    </row>
    <row r="47" spans="1:7">
      <c r="A47" s="23">
        <v>45926</v>
      </c>
      <c r="B47" s="24" t="s">
        <v>220</v>
      </c>
      <c r="C47" s="24">
        <v>361.21</v>
      </c>
      <c r="D47" s="25" t="str">
        <f t="shared" si="4"/>
        <v>5.8</v>
      </c>
      <c r="E47" s="25">
        <f t="shared" si="5"/>
        <v>2095</v>
      </c>
      <c r="F47" s="26"/>
      <c r="G47" s="26"/>
    </row>
    <row r="48" spans="1:7">
      <c r="A48" s="23">
        <v>45926</v>
      </c>
      <c r="B48" s="24" t="s">
        <v>211</v>
      </c>
      <c r="C48" s="24">
        <v>280.52</v>
      </c>
      <c r="D48" s="25" t="str">
        <f t="shared" si="4"/>
        <v>5.8</v>
      </c>
      <c r="E48" s="25">
        <f t="shared" si="5"/>
        <v>1627</v>
      </c>
      <c r="F48" s="26"/>
      <c r="G48" s="26"/>
    </row>
    <row r="49" spans="1:7">
      <c r="A49" s="23">
        <v>45926</v>
      </c>
      <c r="B49" s="24" t="s">
        <v>224</v>
      </c>
      <c r="C49" s="24">
        <v>427</v>
      </c>
      <c r="D49" s="25" t="str">
        <f t="shared" si="4"/>
        <v>5.8</v>
      </c>
      <c r="E49" s="25">
        <f t="shared" si="5"/>
        <v>2476</v>
      </c>
      <c r="F49" s="26"/>
      <c r="G49" s="26"/>
    </row>
    <row r="50" spans="1:7">
      <c r="A50" s="23">
        <v>45926</v>
      </c>
      <c r="B50" s="24" t="s">
        <v>214</v>
      </c>
      <c r="C50" s="24">
        <v>230</v>
      </c>
      <c r="D50" s="25" t="str">
        <f t="shared" si="4"/>
        <v>5.8</v>
      </c>
      <c r="E50" s="25">
        <f t="shared" si="5"/>
        <v>1334</v>
      </c>
      <c r="F50" s="26"/>
      <c r="G50" s="26"/>
    </row>
    <row r="51" spans="1:7">
      <c r="A51" s="23">
        <v>45926</v>
      </c>
      <c r="B51" s="24" t="s">
        <v>226</v>
      </c>
      <c r="C51" s="24">
        <v>490</v>
      </c>
      <c r="D51" s="25" t="str">
        <f t="shared" si="4"/>
        <v>5.8</v>
      </c>
      <c r="E51" s="25">
        <f t="shared" si="5"/>
        <v>2842</v>
      </c>
      <c r="F51" s="26"/>
      <c r="G51" s="26"/>
    </row>
    <row r="52" spans="1:7">
      <c r="A52" s="23">
        <v>45926</v>
      </c>
      <c r="B52" s="24" t="s">
        <v>215</v>
      </c>
      <c r="C52" s="24">
        <v>350</v>
      </c>
      <c r="D52" s="25" t="str">
        <f t="shared" si="4"/>
        <v>5.8</v>
      </c>
      <c r="E52" s="25">
        <f t="shared" si="5"/>
        <v>2030</v>
      </c>
      <c r="F52" s="26"/>
      <c r="G52" s="26"/>
    </row>
    <row r="53" spans="1:7">
      <c r="A53" s="23">
        <v>45926</v>
      </c>
      <c r="B53" s="24" t="s">
        <v>216</v>
      </c>
      <c r="C53" s="24">
        <v>630</v>
      </c>
      <c r="D53" s="25" t="str">
        <f t="shared" si="4"/>
        <v>5.8</v>
      </c>
      <c r="E53" s="25">
        <f t="shared" si="5"/>
        <v>3654</v>
      </c>
      <c r="F53" s="26"/>
      <c r="G53" s="26"/>
    </row>
    <row r="54" spans="1:7">
      <c r="A54" s="23">
        <v>45926</v>
      </c>
      <c r="B54" s="24" t="s">
        <v>217</v>
      </c>
      <c r="C54" s="24">
        <v>848</v>
      </c>
      <c r="D54" s="25" t="str">
        <f t="shared" si="4"/>
        <v>5.8</v>
      </c>
      <c r="E54" s="25">
        <f t="shared" si="5"/>
        <v>4918</v>
      </c>
      <c r="F54" s="26"/>
      <c r="G54" s="26"/>
    </row>
    <row r="55" spans="1:7">
      <c r="A55" s="23">
        <v>45926</v>
      </c>
      <c r="B55" s="24" t="s">
        <v>212</v>
      </c>
      <c r="C55" s="24">
        <v>313.67</v>
      </c>
      <c r="D55" s="25" t="str">
        <f t="shared" si="4"/>
        <v>5.8</v>
      </c>
      <c r="E55" s="25">
        <f t="shared" si="5"/>
        <v>1819</v>
      </c>
      <c r="F55" s="26"/>
      <c r="G55" s="26"/>
    </row>
    <row r="56" spans="1:7">
      <c r="A56" s="23">
        <v>45926</v>
      </c>
      <c r="B56" s="24" t="s">
        <v>221</v>
      </c>
      <c r="C56" s="24">
        <v>524</v>
      </c>
      <c r="D56" s="25" t="str">
        <f t="shared" si="4"/>
        <v>5.8</v>
      </c>
      <c r="E56" s="25">
        <f t="shared" si="5"/>
        <v>3039</v>
      </c>
      <c r="F56" s="26"/>
      <c r="G56" s="26"/>
    </row>
    <row r="57" spans="1:7">
      <c r="A57" s="23">
        <v>45927</v>
      </c>
      <c r="B57" s="24" t="s">
        <v>214</v>
      </c>
      <c r="C57" s="24">
        <v>500.34</v>
      </c>
      <c r="D57" s="25" t="str">
        <f t="shared" si="4"/>
        <v>5.8</v>
      </c>
      <c r="E57" s="25">
        <f t="shared" si="5"/>
        <v>2901</v>
      </c>
      <c r="F57" s="26"/>
      <c r="G57" s="26"/>
    </row>
    <row r="58" spans="1:7">
      <c r="A58" s="23">
        <v>45927</v>
      </c>
      <c r="B58" s="24" t="s">
        <v>215</v>
      </c>
      <c r="C58" s="24">
        <v>501</v>
      </c>
      <c r="D58" s="25" t="str">
        <f t="shared" si="4"/>
        <v>5.8</v>
      </c>
      <c r="E58" s="25">
        <f t="shared" si="5"/>
        <v>2905</v>
      </c>
      <c r="F58" s="26"/>
      <c r="G58" s="26"/>
    </row>
    <row r="59" spans="1:7">
      <c r="A59" s="23">
        <v>45927</v>
      </c>
      <c r="B59" s="24" t="s">
        <v>219</v>
      </c>
      <c r="C59" s="24">
        <v>670.63</v>
      </c>
      <c r="D59" s="25" t="str">
        <f t="shared" si="4"/>
        <v>5.8</v>
      </c>
      <c r="E59" s="25">
        <f t="shared" si="5"/>
        <v>3889</v>
      </c>
      <c r="F59" s="26"/>
      <c r="G59" s="26"/>
    </row>
    <row r="60" spans="1:7">
      <c r="A60" s="23">
        <v>45927</v>
      </c>
      <c r="B60" s="24" t="s">
        <v>218</v>
      </c>
      <c r="C60" s="24">
        <v>523.6</v>
      </c>
      <c r="D60" s="25" t="str">
        <f t="shared" si="4"/>
        <v>5.8</v>
      </c>
      <c r="E60" s="25">
        <f t="shared" si="5"/>
        <v>3036</v>
      </c>
      <c r="F60" s="26"/>
      <c r="G60" s="26"/>
    </row>
    <row r="61" spans="1:7">
      <c r="A61" s="23">
        <v>45927</v>
      </c>
      <c r="B61" s="24" t="s">
        <v>220</v>
      </c>
      <c r="C61" s="24">
        <v>487.29</v>
      </c>
      <c r="D61" s="25" t="str">
        <f t="shared" si="4"/>
        <v>5.8</v>
      </c>
      <c r="E61" s="25">
        <f t="shared" si="5"/>
        <v>2826</v>
      </c>
      <c r="F61" s="26"/>
      <c r="G61" s="26"/>
    </row>
    <row r="62" spans="1:7">
      <c r="A62" s="23">
        <v>45927</v>
      </c>
      <c r="B62" s="24" t="s">
        <v>216</v>
      </c>
      <c r="C62" s="24">
        <v>313</v>
      </c>
      <c r="D62" s="25" t="str">
        <f t="shared" si="4"/>
        <v>5.8</v>
      </c>
      <c r="E62" s="25">
        <f t="shared" si="5"/>
        <v>1815</v>
      </c>
      <c r="F62" s="26"/>
      <c r="G62" s="26"/>
    </row>
    <row r="63" spans="1:7">
      <c r="A63" s="23">
        <v>45927</v>
      </c>
      <c r="B63" s="24" t="s">
        <v>226</v>
      </c>
      <c r="C63" s="24">
        <v>221</v>
      </c>
      <c r="D63" s="25" t="str">
        <f t="shared" si="4"/>
        <v>5.8</v>
      </c>
      <c r="E63" s="25">
        <f t="shared" si="5"/>
        <v>1281</v>
      </c>
      <c r="F63" s="26"/>
      <c r="G63" s="26"/>
    </row>
    <row r="64" spans="1:7">
      <c r="A64" s="23">
        <v>45927</v>
      </c>
      <c r="B64" s="24" t="s">
        <v>217</v>
      </c>
      <c r="C64" s="24">
        <v>415</v>
      </c>
      <c r="D64" s="25" t="str">
        <f t="shared" si="4"/>
        <v>5.8</v>
      </c>
      <c r="E64" s="25">
        <f t="shared" si="5"/>
        <v>2407</v>
      </c>
      <c r="F64" s="26"/>
      <c r="G64" s="26"/>
    </row>
    <row r="65" spans="1:7">
      <c r="A65" s="23">
        <v>45927</v>
      </c>
      <c r="B65" s="24" t="s">
        <v>221</v>
      </c>
      <c r="C65" s="24">
        <v>326</v>
      </c>
      <c r="D65" s="25" t="str">
        <f t="shared" si="4"/>
        <v>5.8</v>
      </c>
      <c r="E65" s="25">
        <f t="shared" si="5"/>
        <v>1890</v>
      </c>
      <c r="F65" s="26"/>
      <c r="G65" s="26"/>
    </row>
    <row r="66" spans="1:7">
      <c r="A66" s="23">
        <v>45927</v>
      </c>
      <c r="B66" s="24" t="s">
        <v>225</v>
      </c>
      <c r="C66" s="24">
        <v>200</v>
      </c>
      <c r="D66" s="25" t="str">
        <f t="shared" si="4"/>
        <v>5.8</v>
      </c>
      <c r="E66" s="25">
        <f t="shared" si="5"/>
        <v>1160</v>
      </c>
      <c r="F66" s="26"/>
      <c r="G66" s="26"/>
    </row>
    <row r="67" spans="1:7">
      <c r="A67" s="23">
        <v>45927</v>
      </c>
      <c r="B67" s="24" t="s">
        <v>222</v>
      </c>
      <c r="C67" s="24">
        <v>208.09</v>
      </c>
      <c r="D67" s="25" t="str">
        <f t="shared" si="4"/>
        <v>5.8</v>
      </c>
      <c r="E67" s="25">
        <f t="shared" si="5"/>
        <v>1206</v>
      </c>
      <c r="F67" s="26"/>
      <c r="G67" s="26"/>
    </row>
    <row r="68" spans="1:7">
      <c r="A68" s="23">
        <v>45927</v>
      </c>
      <c r="B68" s="24" t="s">
        <v>224</v>
      </c>
      <c r="C68" s="24">
        <v>610.02</v>
      </c>
      <c r="D68" s="25" t="str">
        <f t="shared" si="4"/>
        <v>5.8</v>
      </c>
      <c r="E68" s="25">
        <f t="shared" si="5"/>
        <v>3538</v>
      </c>
      <c r="F68" s="26"/>
      <c r="G68" s="26"/>
    </row>
    <row r="69" spans="1:7">
      <c r="A69" s="23">
        <v>45927</v>
      </c>
      <c r="B69" s="24" t="s">
        <v>223</v>
      </c>
      <c r="C69" s="24">
        <v>262.06</v>
      </c>
      <c r="D69" s="25" t="str">
        <f t="shared" si="4"/>
        <v>5.8</v>
      </c>
      <c r="E69" s="25">
        <f t="shared" si="5"/>
        <v>1519</v>
      </c>
      <c r="F69" s="26"/>
      <c r="G69" s="26"/>
    </row>
    <row r="70" spans="1:7">
      <c r="A70" s="23">
        <v>45928</v>
      </c>
      <c r="B70" s="24" t="s">
        <v>220</v>
      </c>
      <c r="C70" s="24">
        <v>410</v>
      </c>
      <c r="D70" s="25" t="str">
        <f t="shared" si="4"/>
        <v>5.8</v>
      </c>
      <c r="E70" s="25">
        <f t="shared" si="5"/>
        <v>2378</v>
      </c>
      <c r="F70" s="26"/>
      <c r="G70" s="26"/>
    </row>
    <row r="71" spans="1:7">
      <c r="A71" s="23">
        <v>45928</v>
      </c>
      <c r="B71" s="24" t="s">
        <v>221</v>
      </c>
      <c r="C71" s="24">
        <v>281.22</v>
      </c>
      <c r="D71" s="25" t="str">
        <f t="shared" si="4"/>
        <v>5.8</v>
      </c>
      <c r="E71" s="25">
        <f t="shared" si="5"/>
        <v>1631</v>
      </c>
      <c r="F71" s="26"/>
      <c r="G71" s="26"/>
    </row>
    <row r="72" spans="1:7">
      <c r="A72" s="23">
        <v>45928</v>
      </c>
      <c r="B72" s="24" t="s">
        <v>215</v>
      </c>
      <c r="C72" s="24">
        <v>260</v>
      </c>
      <c r="D72" s="25" t="str">
        <f t="shared" si="4"/>
        <v>5.8</v>
      </c>
      <c r="E72" s="25">
        <f t="shared" si="5"/>
        <v>1508</v>
      </c>
      <c r="F72" s="26"/>
      <c r="G72" s="26"/>
    </row>
    <row r="73" spans="1:7">
      <c r="A73" s="23">
        <v>45928</v>
      </c>
      <c r="B73" s="24" t="s">
        <v>216</v>
      </c>
      <c r="C73" s="24">
        <v>300</v>
      </c>
      <c r="D73" s="25" t="str">
        <f t="shared" si="4"/>
        <v>5.8</v>
      </c>
      <c r="E73" s="25">
        <f t="shared" si="5"/>
        <v>1740</v>
      </c>
      <c r="F73" s="26"/>
      <c r="G73" s="26"/>
    </row>
    <row r="74" spans="1:7">
      <c r="A74" s="23">
        <v>45928</v>
      </c>
      <c r="B74" s="24" t="s">
        <v>217</v>
      </c>
      <c r="C74" s="24">
        <v>440</v>
      </c>
      <c r="D74" s="25" t="str">
        <f t="shared" si="4"/>
        <v>5.8</v>
      </c>
      <c r="E74" s="25">
        <f t="shared" si="5"/>
        <v>2552</v>
      </c>
      <c r="F74" s="26"/>
      <c r="G74" s="26"/>
    </row>
    <row r="75" spans="1:7">
      <c r="A75" s="23">
        <v>45928</v>
      </c>
      <c r="B75" s="24" t="s">
        <v>219</v>
      </c>
      <c r="C75" s="24">
        <v>575</v>
      </c>
      <c r="D75" s="25" t="str">
        <f t="shared" si="4"/>
        <v>5.8</v>
      </c>
      <c r="E75" s="25">
        <f t="shared" si="5"/>
        <v>3335</v>
      </c>
      <c r="F75" s="26"/>
      <c r="G75" s="26"/>
    </row>
    <row r="76" spans="1:7">
      <c r="A76" s="23">
        <v>45928</v>
      </c>
      <c r="B76" s="24" t="s">
        <v>222</v>
      </c>
      <c r="C76" s="24">
        <v>294</v>
      </c>
      <c r="D76" s="25" t="str">
        <f t="shared" si="4"/>
        <v>5.8</v>
      </c>
      <c r="E76" s="25">
        <f t="shared" si="5"/>
        <v>1705</v>
      </c>
      <c r="F76" s="26"/>
      <c r="G76" s="26"/>
    </row>
    <row r="77" spans="1:7">
      <c r="A77" s="23">
        <v>45928</v>
      </c>
      <c r="B77" s="24" t="s">
        <v>226</v>
      </c>
      <c r="C77" s="24">
        <v>296</v>
      </c>
      <c r="D77" s="25" t="str">
        <f t="shared" si="4"/>
        <v>5.8</v>
      </c>
      <c r="E77" s="25">
        <f t="shared" si="5"/>
        <v>1716</v>
      </c>
      <c r="F77" s="26"/>
      <c r="G77" s="26"/>
    </row>
    <row r="78" spans="1:7">
      <c r="A78" s="23">
        <v>45928</v>
      </c>
      <c r="B78" s="24" t="s">
        <v>211</v>
      </c>
      <c r="C78" s="24">
        <v>300</v>
      </c>
      <c r="D78" s="25" t="str">
        <f t="shared" si="4"/>
        <v>5.8</v>
      </c>
      <c r="E78" s="25">
        <f t="shared" si="5"/>
        <v>1740</v>
      </c>
      <c r="F78" s="26"/>
      <c r="G78" s="26"/>
    </row>
    <row r="79" spans="1:7">
      <c r="A79" s="23">
        <v>45928</v>
      </c>
      <c r="B79" s="24" t="s">
        <v>224</v>
      </c>
      <c r="C79" s="24">
        <v>344</v>
      </c>
      <c r="D79" s="25" t="str">
        <f t="shared" si="4"/>
        <v>5.8</v>
      </c>
      <c r="E79" s="25">
        <f t="shared" si="5"/>
        <v>1995</v>
      </c>
      <c r="F79" s="26"/>
      <c r="G79" s="26"/>
    </row>
    <row r="80" spans="1:7">
      <c r="A80" s="23">
        <v>45928</v>
      </c>
      <c r="B80" s="24" t="s">
        <v>212</v>
      </c>
      <c r="C80" s="24">
        <v>450</v>
      </c>
      <c r="D80" s="25" t="str">
        <f t="shared" si="4"/>
        <v>5.8</v>
      </c>
      <c r="E80" s="25">
        <f t="shared" si="5"/>
        <v>2610</v>
      </c>
      <c r="F80" s="26"/>
      <c r="G80" s="26"/>
    </row>
    <row r="81" spans="1:7">
      <c r="A81" s="23">
        <v>45928</v>
      </c>
      <c r="B81" s="24" t="s">
        <v>223</v>
      </c>
      <c r="C81" s="24">
        <v>318.46</v>
      </c>
      <c r="D81" s="25" t="str">
        <f t="shared" si="4"/>
        <v>5.8</v>
      </c>
      <c r="E81" s="25">
        <f t="shared" si="5"/>
        <v>1847</v>
      </c>
      <c r="F81" s="26"/>
      <c r="G81" s="26"/>
    </row>
    <row r="82" spans="1:7">
      <c r="A82" s="23">
        <v>45928</v>
      </c>
      <c r="B82" s="24" t="s">
        <v>225</v>
      </c>
      <c r="C82" s="24">
        <v>400</v>
      </c>
      <c r="D82" s="25" t="str">
        <f t="shared" si="4"/>
        <v>5.8</v>
      </c>
      <c r="E82" s="25">
        <f t="shared" si="5"/>
        <v>2320</v>
      </c>
      <c r="F82" s="26"/>
      <c r="G82" s="26"/>
    </row>
    <row r="83" spans="1:7">
      <c r="A83" s="23"/>
      <c r="B83" s="24"/>
      <c r="C83" s="24"/>
      <c r="D83" s="25"/>
      <c r="E83" s="25"/>
      <c r="F83" s="27"/>
      <c r="G83" s="27"/>
    </row>
    <row r="84" spans="1:5">
      <c r="A84" s="23">
        <v>45929</v>
      </c>
      <c r="B84" s="24" t="s">
        <v>215</v>
      </c>
      <c r="C84" s="24">
        <v>312</v>
      </c>
      <c r="D84" s="25" t="str">
        <f t="shared" ref="D84:D112" si="6">IF(C84&gt;=200,"5.8",IF(C84&lt;200,"6"))</f>
        <v>5.8</v>
      </c>
      <c r="E84" s="25">
        <f t="shared" ref="E84:E112" si="7">INT(C84*D84)</f>
        <v>1809</v>
      </c>
    </row>
    <row r="85" spans="1:5">
      <c r="A85" s="23">
        <v>45929</v>
      </c>
      <c r="B85" s="24" t="s">
        <v>225</v>
      </c>
      <c r="C85" s="24">
        <v>400</v>
      </c>
      <c r="D85" s="25" t="str">
        <f t="shared" si="6"/>
        <v>5.8</v>
      </c>
      <c r="E85" s="25">
        <f t="shared" si="7"/>
        <v>2320</v>
      </c>
    </row>
    <row r="86" spans="1:5">
      <c r="A86" s="23">
        <v>45929</v>
      </c>
      <c r="B86" s="24" t="s">
        <v>223</v>
      </c>
      <c r="C86" s="24">
        <v>378.46</v>
      </c>
      <c r="D86" s="25" t="str">
        <f t="shared" si="6"/>
        <v>5.8</v>
      </c>
      <c r="E86" s="25">
        <f t="shared" si="7"/>
        <v>2195</v>
      </c>
    </row>
    <row r="87" spans="1:5">
      <c r="A87" s="23">
        <v>45929</v>
      </c>
      <c r="B87" s="24" t="s">
        <v>219</v>
      </c>
      <c r="C87" s="24">
        <v>569.37</v>
      </c>
      <c r="D87" s="25" t="str">
        <f t="shared" si="6"/>
        <v>5.8</v>
      </c>
      <c r="E87" s="25">
        <f t="shared" si="7"/>
        <v>3302</v>
      </c>
    </row>
    <row r="88" spans="1:5">
      <c r="A88" s="23">
        <v>45929</v>
      </c>
      <c r="B88" s="24" t="s">
        <v>222</v>
      </c>
      <c r="C88" s="24">
        <v>260</v>
      </c>
      <c r="D88" s="25" t="str">
        <f t="shared" si="6"/>
        <v>5.8</v>
      </c>
      <c r="E88" s="25">
        <f t="shared" si="7"/>
        <v>1508</v>
      </c>
    </row>
    <row r="89" spans="1:5">
      <c r="A89" s="23">
        <v>45929</v>
      </c>
      <c r="B89" s="24" t="s">
        <v>224</v>
      </c>
      <c r="C89" s="24">
        <v>100</v>
      </c>
      <c r="D89" s="25" t="str">
        <f t="shared" si="6"/>
        <v>6</v>
      </c>
      <c r="E89" s="25">
        <f t="shared" si="7"/>
        <v>600</v>
      </c>
    </row>
    <row r="90" spans="1:5">
      <c r="A90" s="23">
        <v>45929</v>
      </c>
      <c r="B90" s="24" t="s">
        <v>216</v>
      </c>
      <c r="C90" s="24">
        <v>526</v>
      </c>
      <c r="D90" s="25" t="str">
        <f t="shared" si="6"/>
        <v>5.8</v>
      </c>
      <c r="E90" s="25">
        <f t="shared" si="7"/>
        <v>3050</v>
      </c>
    </row>
    <row r="91" spans="1:5">
      <c r="A91" s="23">
        <v>45929</v>
      </c>
      <c r="B91" s="24" t="s">
        <v>214</v>
      </c>
      <c r="C91" s="24">
        <v>303.52</v>
      </c>
      <c r="D91" s="25">
        <v>5.75</v>
      </c>
      <c r="E91" s="25">
        <f t="shared" si="7"/>
        <v>1745</v>
      </c>
    </row>
    <row r="92" spans="1:5">
      <c r="A92" s="23">
        <v>45929</v>
      </c>
      <c r="B92" s="24" t="s">
        <v>217</v>
      </c>
      <c r="C92" s="24">
        <v>1095.56</v>
      </c>
      <c r="D92" s="25" t="str">
        <f t="shared" si="6"/>
        <v>5.8</v>
      </c>
      <c r="E92" s="25">
        <f t="shared" si="7"/>
        <v>6354</v>
      </c>
    </row>
    <row r="93" spans="1:5">
      <c r="A93" s="23">
        <v>45929</v>
      </c>
      <c r="B93" s="24" t="s">
        <v>221</v>
      </c>
      <c r="C93" s="24">
        <v>359.34</v>
      </c>
      <c r="D93" s="25" t="str">
        <f t="shared" si="6"/>
        <v>5.8</v>
      </c>
      <c r="E93" s="25">
        <f t="shared" si="7"/>
        <v>2084</v>
      </c>
    </row>
    <row r="94" spans="1:5">
      <c r="A94" s="23">
        <v>45929</v>
      </c>
      <c r="B94" s="24" t="s">
        <v>218</v>
      </c>
      <c r="C94" s="24">
        <v>264</v>
      </c>
      <c r="D94" s="25" t="str">
        <f t="shared" si="6"/>
        <v>5.8</v>
      </c>
      <c r="E94" s="25">
        <f t="shared" si="7"/>
        <v>1531</v>
      </c>
    </row>
    <row r="95" spans="1:5">
      <c r="A95" s="23">
        <v>45929</v>
      </c>
      <c r="B95" s="24" t="s">
        <v>220</v>
      </c>
      <c r="C95" s="24">
        <v>300</v>
      </c>
      <c r="D95" s="25" t="str">
        <f t="shared" si="6"/>
        <v>5.8</v>
      </c>
      <c r="E95" s="25">
        <f t="shared" si="7"/>
        <v>1740</v>
      </c>
    </row>
    <row r="96" spans="1:5">
      <c r="A96" s="23">
        <v>45930</v>
      </c>
      <c r="B96" s="24" t="s">
        <v>217</v>
      </c>
      <c r="C96" s="24">
        <v>221.9</v>
      </c>
      <c r="D96" s="25" t="str">
        <f t="shared" si="6"/>
        <v>5.8</v>
      </c>
      <c r="E96" s="25">
        <f t="shared" si="7"/>
        <v>1287</v>
      </c>
    </row>
    <row r="97" spans="1:5">
      <c r="A97" s="23">
        <v>45930</v>
      </c>
      <c r="B97" s="24" t="s">
        <v>221</v>
      </c>
      <c r="C97" s="24">
        <v>550</v>
      </c>
      <c r="D97" s="25" t="str">
        <f t="shared" si="6"/>
        <v>5.8</v>
      </c>
      <c r="E97" s="25">
        <f t="shared" si="7"/>
        <v>3190</v>
      </c>
    </row>
    <row r="98" spans="1:5">
      <c r="A98" s="23">
        <v>45930</v>
      </c>
      <c r="B98" s="24" t="s">
        <v>218</v>
      </c>
      <c r="C98" s="24">
        <v>401.41</v>
      </c>
      <c r="D98" s="25" t="str">
        <f t="shared" si="6"/>
        <v>5.8</v>
      </c>
      <c r="E98" s="25">
        <f t="shared" si="7"/>
        <v>2328</v>
      </c>
    </row>
    <row r="99" spans="1:5">
      <c r="A99" s="23">
        <v>45930</v>
      </c>
      <c r="B99" s="24" t="s">
        <v>220</v>
      </c>
      <c r="C99" s="24">
        <v>192.9</v>
      </c>
      <c r="D99" s="25">
        <v>5.8</v>
      </c>
      <c r="E99" s="25">
        <f t="shared" si="7"/>
        <v>1118</v>
      </c>
    </row>
    <row r="100" spans="1:5">
      <c r="A100" s="23">
        <v>45930</v>
      </c>
      <c r="B100" s="24" t="s">
        <v>226</v>
      </c>
      <c r="C100" s="24">
        <v>200</v>
      </c>
      <c r="D100" s="25" t="str">
        <f t="shared" si="6"/>
        <v>5.8</v>
      </c>
      <c r="E100" s="25">
        <f t="shared" si="7"/>
        <v>1160</v>
      </c>
    </row>
    <row r="101" spans="1:5">
      <c r="A101" s="23">
        <v>45931</v>
      </c>
      <c r="B101" s="24" t="s">
        <v>218</v>
      </c>
      <c r="C101" s="24">
        <v>300</v>
      </c>
      <c r="D101" s="25" t="str">
        <f t="shared" si="6"/>
        <v>5.8</v>
      </c>
      <c r="E101" s="25">
        <f t="shared" si="7"/>
        <v>1740</v>
      </c>
    </row>
    <row r="102" spans="1:5">
      <c r="A102" s="23">
        <v>45931</v>
      </c>
      <c r="B102" s="24" t="s">
        <v>226</v>
      </c>
      <c r="C102" s="24">
        <v>319.49</v>
      </c>
      <c r="D102" s="25" t="str">
        <f t="shared" si="6"/>
        <v>5.8</v>
      </c>
      <c r="E102" s="25">
        <f t="shared" si="7"/>
        <v>1853</v>
      </c>
    </row>
    <row r="103" spans="1:5">
      <c r="A103" s="23">
        <v>45931</v>
      </c>
      <c r="B103" s="24" t="s">
        <v>225</v>
      </c>
      <c r="C103" s="24">
        <v>300</v>
      </c>
      <c r="D103" s="25" t="str">
        <f t="shared" si="6"/>
        <v>5.8</v>
      </c>
      <c r="E103" s="25">
        <f t="shared" si="7"/>
        <v>1740</v>
      </c>
    </row>
    <row r="104" spans="1:5">
      <c r="A104" s="23">
        <v>45931</v>
      </c>
      <c r="B104" s="24" t="s">
        <v>220</v>
      </c>
      <c r="C104" s="24">
        <v>559.85</v>
      </c>
      <c r="D104" s="25" t="str">
        <f t="shared" si="6"/>
        <v>5.8</v>
      </c>
      <c r="E104" s="25">
        <f t="shared" si="7"/>
        <v>3247</v>
      </c>
    </row>
    <row r="105" spans="1:5">
      <c r="A105" s="23">
        <v>45931</v>
      </c>
      <c r="B105" s="24" t="s">
        <v>214</v>
      </c>
      <c r="C105" s="24">
        <v>457</v>
      </c>
      <c r="D105" s="25" t="str">
        <f t="shared" si="6"/>
        <v>5.8</v>
      </c>
      <c r="E105" s="25">
        <f t="shared" si="7"/>
        <v>2650</v>
      </c>
    </row>
    <row r="106" spans="1:5">
      <c r="A106" s="23">
        <v>45931</v>
      </c>
      <c r="B106" s="24" t="s">
        <v>217</v>
      </c>
      <c r="C106" s="24">
        <v>220</v>
      </c>
      <c r="D106" s="25" t="str">
        <f t="shared" si="6"/>
        <v>5.8</v>
      </c>
      <c r="E106" s="25">
        <f t="shared" si="7"/>
        <v>1276</v>
      </c>
    </row>
    <row r="107" spans="1:5">
      <c r="A107" s="23">
        <v>45931</v>
      </c>
      <c r="B107" s="24" t="s">
        <v>223</v>
      </c>
      <c r="C107" s="24">
        <v>300</v>
      </c>
      <c r="D107" s="25" t="str">
        <f t="shared" si="6"/>
        <v>5.8</v>
      </c>
      <c r="E107" s="25">
        <f t="shared" si="7"/>
        <v>1740</v>
      </c>
    </row>
    <row r="108" spans="1:5">
      <c r="A108" s="23">
        <v>45931</v>
      </c>
      <c r="B108" s="24" t="s">
        <v>212</v>
      </c>
      <c r="C108" s="24">
        <v>313.98</v>
      </c>
      <c r="D108" s="25" t="str">
        <f t="shared" si="6"/>
        <v>5.8</v>
      </c>
      <c r="E108" s="25">
        <f t="shared" si="7"/>
        <v>1821</v>
      </c>
    </row>
    <row r="109" spans="1:5">
      <c r="A109" s="23">
        <v>45931</v>
      </c>
      <c r="B109" s="24" t="s">
        <v>219</v>
      </c>
      <c r="C109" s="24">
        <v>440</v>
      </c>
      <c r="D109" s="25" t="str">
        <f t="shared" si="6"/>
        <v>5.8</v>
      </c>
      <c r="E109" s="25">
        <f t="shared" si="7"/>
        <v>2552</v>
      </c>
    </row>
    <row r="110" spans="1:5">
      <c r="A110" s="23">
        <v>45931</v>
      </c>
      <c r="B110" s="24" t="s">
        <v>218</v>
      </c>
      <c r="C110" s="24">
        <v>295.86</v>
      </c>
      <c r="D110" s="25" t="str">
        <f t="shared" si="6"/>
        <v>5.8</v>
      </c>
      <c r="E110" s="25">
        <f t="shared" si="7"/>
        <v>1715</v>
      </c>
    </row>
    <row r="111" spans="1:5">
      <c r="A111" s="23">
        <v>45931</v>
      </c>
      <c r="B111" s="24" t="s">
        <v>224</v>
      </c>
      <c r="C111" s="24">
        <v>348</v>
      </c>
      <c r="D111" s="25" t="str">
        <f t="shared" si="6"/>
        <v>5.8</v>
      </c>
      <c r="E111" s="25">
        <f t="shared" si="7"/>
        <v>2018</v>
      </c>
    </row>
    <row r="112" spans="1:5">
      <c r="A112" s="23">
        <v>45931</v>
      </c>
      <c r="B112" s="24" t="s">
        <v>216</v>
      </c>
      <c r="C112" s="24">
        <v>410.36</v>
      </c>
      <c r="D112" s="25" t="str">
        <f t="shared" si="6"/>
        <v>5.8</v>
      </c>
      <c r="E112" s="25">
        <f t="shared" si="7"/>
        <v>2380</v>
      </c>
    </row>
    <row r="113" spans="5:5">
      <c r="E113" s="28">
        <f>SUM(E84:E112)</f>
        <v>62053</v>
      </c>
    </row>
  </sheetData>
  <mergeCells count="1">
    <mergeCell ref="B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8"/>
  <sheetViews>
    <sheetView workbookViewId="0">
      <selection activeCell="I12" sqref="I12"/>
    </sheetView>
  </sheetViews>
  <sheetFormatPr defaultColWidth="9" defaultRowHeight="14.25" outlineLevelCol="2"/>
  <cols>
    <col min="1" max="1" width="9.86666666666667" customWidth="1"/>
    <col min="2" max="2" width="13.1333333333333" customWidth="1"/>
  </cols>
  <sheetData>
    <row r="1" ht="37.5" spans="1:3">
      <c r="A1" s="1" t="s">
        <v>227</v>
      </c>
      <c r="B1" s="1" t="s">
        <v>3</v>
      </c>
      <c r="C1" s="1" t="s">
        <v>30</v>
      </c>
    </row>
    <row r="2" spans="1:3">
      <c r="A2" s="2">
        <v>45926</v>
      </c>
      <c r="B2" s="3" t="s">
        <v>183</v>
      </c>
      <c r="C2" s="3">
        <v>200</v>
      </c>
    </row>
    <row r="3" spans="1:3">
      <c r="A3" s="2">
        <v>45926</v>
      </c>
      <c r="B3" s="3" t="s">
        <v>214</v>
      </c>
      <c r="C3" s="3">
        <v>282.38</v>
      </c>
    </row>
    <row r="4" spans="1:3">
      <c r="A4" s="2">
        <v>45926</v>
      </c>
      <c r="B4" s="3" t="s">
        <v>101</v>
      </c>
      <c r="C4" s="3">
        <v>400</v>
      </c>
    </row>
    <row r="5" spans="1:3">
      <c r="A5" s="2">
        <v>45926</v>
      </c>
      <c r="B5" s="3" t="s">
        <v>175</v>
      </c>
      <c r="C5" s="3">
        <v>217.12</v>
      </c>
    </row>
    <row r="6" spans="1:3">
      <c r="A6" s="2">
        <v>45926</v>
      </c>
      <c r="B6" s="3" t="s">
        <v>102</v>
      </c>
      <c r="C6" s="3">
        <v>240</v>
      </c>
    </row>
    <row r="7" spans="1:3">
      <c r="A7" s="2">
        <v>45926</v>
      </c>
      <c r="B7" s="3" t="s">
        <v>219</v>
      </c>
      <c r="C7" s="3">
        <v>342.01</v>
      </c>
    </row>
    <row r="8" spans="1:3">
      <c r="A8" s="2">
        <v>45926</v>
      </c>
      <c r="B8" s="3" t="s">
        <v>184</v>
      </c>
      <c r="C8" s="3">
        <v>380</v>
      </c>
    </row>
    <row r="9" spans="1:3">
      <c r="A9" s="2">
        <v>45926</v>
      </c>
      <c r="B9" s="3" t="s">
        <v>185</v>
      </c>
      <c r="C9" s="3">
        <v>300</v>
      </c>
    </row>
    <row r="10" spans="1:3">
      <c r="A10" s="2">
        <v>45926</v>
      </c>
      <c r="B10" s="3" t="s">
        <v>107</v>
      </c>
      <c r="C10" s="3">
        <v>529</v>
      </c>
    </row>
    <row r="11" spans="1:3">
      <c r="A11" s="2">
        <v>45926</v>
      </c>
      <c r="B11" s="3" t="s">
        <v>226</v>
      </c>
      <c r="C11" s="3">
        <v>450</v>
      </c>
    </row>
    <row r="12" spans="1:3">
      <c r="A12" s="2">
        <v>45926</v>
      </c>
      <c r="B12" s="3" t="s">
        <v>108</v>
      </c>
      <c r="C12" s="3">
        <v>380</v>
      </c>
    </row>
    <row r="13" spans="1:3">
      <c r="A13" s="2">
        <v>45926</v>
      </c>
      <c r="B13" s="3" t="s">
        <v>46</v>
      </c>
      <c r="C13" s="3">
        <v>222.53</v>
      </c>
    </row>
    <row r="14" spans="1:3">
      <c r="A14" s="2">
        <v>45926</v>
      </c>
      <c r="B14" s="3" t="s">
        <v>106</v>
      </c>
      <c r="C14" s="3">
        <v>390</v>
      </c>
    </row>
    <row r="15" spans="1:3">
      <c r="A15" s="2">
        <v>45926</v>
      </c>
      <c r="B15" s="3" t="s">
        <v>112</v>
      </c>
      <c r="C15" s="3">
        <v>360</v>
      </c>
    </row>
    <row r="16" spans="1:3">
      <c r="A16" s="2">
        <v>45926</v>
      </c>
      <c r="B16" s="3" t="s">
        <v>53</v>
      </c>
      <c r="C16" s="3">
        <v>530</v>
      </c>
    </row>
    <row r="17" spans="1:3">
      <c r="A17" s="2">
        <v>45926</v>
      </c>
      <c r="B17" s="3" t="s">
        <v>91</v>
      </c>
      <c r="C17" s="3">
        <v>350</v>
      </c>
    </row>
    <row r="18" spans="1:3">
      <c r="A18" s="2">
        <v>45926</v>
      </c>
      <c r="B18" s="3" t="s">
        <v>225</v>
      </c>
      <c r="C18" s="3">
        <v>300</v>
      </c>
    </row>
    <row r="19" spans="1:3">
      <c r="A19" s="2">
        <v>45926</v>
      </c>
      <c r="B19" s="3" t="s">
        <v>92</v>
      </c>
      <c r="C19" s="3">
        <v>400</v>
      </c>
    </row>
    <row r="20" spans="1:3">
      <c r="A20" s="2">
        <v>45926</v>
      </c>
      <c r="B20" s="3" t="s">
        <v>218</v>
      </c>
      <c r="C20" s="3">
        <v>250</v>
      </c>
    </row>
    <row r="21" spans="1:3">
      <c r="A21" s="2">
        <v>45926</v>
      </c>
      <c r="B21" s="3" t="s">
        <v>93</v>
      </c>
      <c r="C21" s="3">
        <v>295.86</v>
      </c>
    </row>
    <row r="22" spans="1:3">
      <c r="A22" s="2">
        <v>45926</v>
      </c>
      <c r="B22" s="3" t="s">
        <v>110</v>
      </c>
      <c r="C22" s="3">
        <v>260.8</v>
      </c>
    </row>
    <row r="23" spans="1:3">
      <c r="A23" s="2">
        <v>45926</v>
      </c>
      <c r="B23" s="3" t="s">
        <v>176</v>
      </c>
      <c r="C23" s="3">
        <v>483.39</v>
      </c>
    </row>
    <row r="24" spans="1:3">
      <c r="A24" s="2">
        <v>45926</v>
      </c>
      <c r="B24" s="3" t="s">
        <v>111</v>
      </c>
      <c r="C24" s="3">
        <v>350</v>
      </c>
    </row>
    <row r="25" spans="1:3">
      <c r="A25" s="2">
        <v>45926</v>
      </c>
      <c r="B25" s="3" t="s">
        <v>186</v>
      </c>
      <c r="C25" s="3">
        <v>300</v>
      </c>
    </row>
    <row r="26" spans="1:3">
      <c r="A26" s="2">
        <v>45926</v>
      </c>
      <c r="B26" s="3" t="s">
        <v>54</v>
      </c>
      <c r="C26" s="3">
        <v>200</v>
      </c>
    </row>
    <row r="27" spans="1:3">
      <c r="A27" s="2">
        <v>45926</v>
      </c>
      <c r="B27" s="3" t="s">
        <v>114</v>
      </c>
      <c r="C27" s="3">
        <v>410</v>
      </c>
    </row>
    <row r="28" spans="1:3">
      <c r="A28" s="2">
        <v>45926</v>
      </c>
      <c r="B28" s="3" t="s">
        <v>94</v>
      </c>
      <c r="C28" s="3">
        <v>350</v>
      </c>
    </row>
    <row r="29" spans="1:3">
      <c r="A29" s="2">
        <v>45926</v>
      </c>
      <c r="B29" s="3" t="s">
        <v>40</v>
      </c>
      <c r="C29" s="3">
        <v>273</v>
      </c>
    </row>
    <row r="30" spans="1:3">
      <c r="A30" s="2">
        <v>45926</v>
      </c>
      <c r="B30" s="3" t="s">
        <v>122</v>
      </c>
      <c r="C30" s="3">
        <v>490</v>
      </c>
    </row>
    <row r="31" spans="1:3">
      <c r="A31" s="2">
        <v>45926</v>
      </c>
      <c r="B31" s="3" t="s">
        <v>187</v>
      </c>
      <c r="C31" s="3">
        <v>138.99</v>
      </c>
    </row>
    <row r="32" spans="1:3">
      <c r="A32" s="2">
        <v>45926</v>
      </c>
      <c r="B32" s="3" t="s">
        <v>95</v>
      </c>
      <c r="C32" s="3">
        <v>1110</v>
      </c>
    </row>
    <row r="33" spans="1:3">
      <c r="A33" s="2">
        <v>45926</v>
      </c>
      <c r="B33" s="3" t="s">
        <v>188</v>
      </c>
      <c r="C33" s="3">
        <v>200</v>
      </c>
    </row>
    <row r="34" spans="1:3">
      <c r="A34" s="2">
        <v>45926</v>
      </c>
      <c r="B34" s="3" t="s">
        <v>116</v>
      </c>
      <c r="C34" s="3">
        <v>310</v>
      </c>
    </row>
    <row r="35" spans="1:3">
      <c r="A35" s="2">
        <v>45926</v>
      </c>
      <c r="B35" s="3" t="s">
        <v>115</v>
      </c>
      <c r="C35" s="3">
        <v>495.17</v>
      </c>
    </row>
    <row r="36" spans="1:3">
      <c r="A36" s="2">
        <v>45926</v>
      </c>
      <c r="B36" s="3" t="s">
        <v>104</v>
      </c>
      <c r="C36" s="3">
        <v>350</v>
      </c>
    </row>
    <row r="37" spans="1:3">
      <c r="A37" s="2">
        <v>45926</v>
      </c>
      <c r="B37" s="3" t="s">
        <v>55</v>
      </c>
      <c r="C37" s="3">
        <v>300</v>
      </c>
    </row>
    <row r="38" spans="1:3">
      <c r="A38" s="2">
        <v>45926</v>
      </c>
      <c r="B38" s="3" t="s">
        <v>56</v>
      </c>
      <c r="C38" s="3">
        <v>318.99</v>
      </c>
    </row>
    <row r="39" spans="1:3">
      <c r="A39" s="2">
        <v>45926</v>
      </c>
      <c r="B39" s="3" t="s">
        <v>55</v>
      </c>
      <c r="C39" s="3">
        <v>320</v>
      </c>
    </row>
    <row r="40" spans="1:3">
      <c r="A40" s="2">
        <v>45926</v>
      </c>
      <c r="B40" s="3" t="s">
        <v>37</v>
      </c>
      <c r="C40" s="3">
        <v>663</v>
      </c>
    </row>
    <row r="41" spans="1:3">
      <c r="A41" s="2">
        <v>45926</v>
      </c>
      <c r="B41" s="3" t="s">
        <v>42</v>
      </c>
      <c r="C41" s="3">
        <v>324.11</v>
      </c>
    </row>
    <row r="42" spans="1:3">
      <c r="A42" s="2">
        <v>45926</v>
      </c>
      <c r="B42" s="3" t="s">
        <v>117</v>
      </c>
      <c r="C42" s="3">
        <v>100</v>
      </c>
    </row>
    <row r="43" spans="1:3">
      <c r="A43" s="2">
        <v>45926</v>
      </c>
      <c r="B43" s="3" t="s">
        <v>43</v>
      </c>
      <c r="C43" s="3">
        <v>483</v>
      </c>
    </row>
    <row r="44" spans="1:3">
      <c r="A44" s="2">
        <v>45926</v>
      </c>
      <c r="B44" s="3" t="s">
        <v>47</v>
      </c>
      <c r="C44" s="3">
        <v>500</v>
      </c>
    </row>
    <row r="45" spans="1:3">
      <c r="A45" s="2">
        <v>45926</v>
      </c>
      <c r="B45" s="3" t="s">
        <v>99</v>
      </c>
      <c r="C45" s="3">
        <v>369.83</v>
      </c>
    </row>
    <row r="46" spans="1:3">
      <c r="A46" s="2">
        <v>45926</v>
      </c>
      <c r="B46" s="3" t="s">
        <v>181</v>
      </c>
      <c r="C46" s="3">
        <v>216.46</v>
      </c>
    </row>
    <row r="47" spans="1:3">
      <c r="A47" s="2">
        <v>45926</v>
      </c>
      <c r="B47" s="3" t="s">
        <v>174</v>
      </c>
      <c r="C47" s="3">
        <v>200</v>
      </c>
    </row>
    <row r="48" spans="1:3">
      <c r="A48" s="2">
        <v>45926</v>
      </c>
      <c r="B48" s="3" t="s">
        <v>220</v>
      </c>
      <c r="C48" s="3">
        <v>361.21</v>
      </c>
    </row>
    <row r="49" spans="1:3">
      <c r="A49" s="2">
        <v>45926</v>
      </c>
      <c r="B49" s="3" t="s">
        <v>181</v>
      </c>
      <c r="C49" s="3">
        <v>295.86</v>
      </c>
    </row>
    <row r="50" spans="1:3">
      <c r="A50" s="2">
        <v>45926</v>
      </c>
      <c r="B50" s="3" t="s">
        <v>119</v>
      </c>
      <c r="C50" s="3">
        <v>350</v>
      </c>
    </row>
    <row r="51" spans="1:3">
      <c r="A51" s="2">
        <v>45926</v>
      </c>
      <c r="B51" s="3" t="s">
        <v>120</v>
      </c>
      <c r="C51" s="3">
        <v>400</v>
      </c>
    </row>
    <row r="52" spans="1:3">
      <c r="A52" s="2">
        <v>45926</v>
      </c>
      <c r="B52" s="3" t="s">
        <v>189</v>
      </c>
      <c r="C52" s="3">
        <v>455</v>
      </c>
    </row>
    <row r="53" spans="1:3">
      <c r="A53" s="2">
        <v>45926</v>
      </c>
      <c r="B53" s="3" t="s">
        <v>97</v>
      </c>
      <c r="C53" s="3">
        <v>200</v>
      </c>
    </row>
    <row r="54" spans="1:3">
      <c r="A54" s="2">
        <v>45926</v>
      </c>
      <c r="B54" s="3" t="s">
        <v>96</v>
      </c>
      <c r="C54" s="3">
        <v>690</v>
      </c>
    </row>
    <row r="55" spans="1:3">
      <c r="A55" s="2">
        <v>45926</v>
      </c>
      <c r="B55" s="3" t="s">
        <v>191</v>
      </c>
      <c r="C55" s="3">
        <v>147.93</v>
      </c>
    </row>
    <row r="56" spans="1:3">
      <c r="A56" s="2">
        <v>45926</v>
      </c>
      <c r="B56" s="3" t="s">
        <v>98</v>
      </c>
      <c r="C56" s="3">
        <v>433</v>
      </c>
    </row>
    <row r="57" spans="1:3">
      <c r="A57" s="2">
        <v>45926</v>
      </c>
      <c r="B57" s="3" t="s">
        <v>161</v>
      </c>
      <c r="C57" s="3">
        <v>340</v>
      </c>
    </row>
    <row r="58" spans="1:3">
      <c r="A58" s="2">
        <v>45926</v>
      </c>
      <c r="B58" s="3" t="s">
        <v>190</v>
      </c>
      <c r="C58" s="3">
        <v>300</v>
      </c>
    </row>
    <row r="59" spans="1:3">
      <c r="A59" s="2">
        <v>45926</v>
      </c>
      <c r="B59" s="3" t="s">
        <v>163</v>
      </c>
      <c r="C59" s="3">
        <v>200</v>
      </c>
    </row>
    <row r="60" spans="1:3">
      <c r="A60" s="2">
        <v>45926</v>
      </c>
      <c r="B60" s="3" t="s">
        <v>211</v>
      </c>
      <c r="C60" s="3">
        <v>280.52</v>
      </c>
    </row>
    <row r="61" spans="1:3">
      <c r="A61" s="2">
        <v>45926</v>
      </c>
      <c r="B61" s="3" t="s">
        <v>224</v>
      </c>
      <c r="C61" s="3">
        <v>427</v>
      </c>
    </row>
    <row r="62" spans="1:3">
      <c r="A62" s="2">
        <v>45926</v>
      </c>
      <c r="B62" s="3" t="s">
        <v>107</v>
      </c>
      <c r="C62" s="3">
        <v>320</v>
      </c>
    </row>
    <row r="63" spans="1:3">
      <c r="A63" s="2">
        <v>45926</v>
      </c>
      <c r="B63" s="3" t="s">
        <v>102</v>
      </c>
      <c r="C63" s="3">
        <v>200</v>
      </c>
    </row>
    <row r="64" spans="1:3">
      <c r="A64" s="2">
        <v>45926</v>
      </c>
      <c r="B64" s="3" t="s">
        <v>109</v>
      </c>
      <c r="C64" s="3">
        <v>232</v>
      </c>
    </row>
    <row r="65" spans="1:3">
      <c r="A65" s="2">
        <v>45926</v>
      </c>
      <c r="B65" s="3" t="s">
        <v>214</v>
      </c>
      <c r="C65" s="3">
        <v>230</v>
      </c>
    </row>
    <row r="66" spans="1:3">
      <c r="A66" s="2">
        <v>45926</v>
      </c>
      <c r="B66" s="3" t="s">
        <v>110</v>
      </c>
      <c r="C66" s="3">
        <v>400</v>
      </c>
    </row>
    <row r="67" spans="1:3">
      <c r="A67" s="2">
        <v>45926</v>
      </c>
      <c r="B67" s="3" t="s">
        <v>111</v>
      </c>
      <c r="C67" s="3">
        <v>200</v>
      </c>
    </row>
    <row r="68" spans="1:3">
      <c r="A68" s="2">
        <v>45926</v>
      </c>
      <c r="B68" s="3" t="s">
        <v>226</v>
      </c>
      <c r="C68" s="3">
        <v>490</v>
      </c>
    </row>
    <row r="69" spans="1:3">
      <c r="A69" s="2">
        <v>45926</v>
      </c>
      <c r="B69" s="3" t="s">
        <v>215</v>
      </c>
      <c r="C69" s="3">
        <v>350</v>
      </c>
    </row>
    <row r="70" spans="1:3">
      <c r="A70" s="2">
        <v>45926</v>
      </c>
      <c r="B70" s="3" t="s">
        <v>168</v>
      </c>
      <c r="C70" s="3">
        <v>191.62</v>
      </c>
    </row>
    <row r="71" spans="1:3">
      <c r="A71" s="2">
        <v>45926</v>
      </c>
      <c r="B71" s="3" t="s">
        <v>169</v>
      </c>
      <c r="C71" s="3">
        <v>700</v>
      </c>
    </row>
    <row r="72" spans="1:3">
      <c r="A72" s="2">
        <v>45926</v>
      </c>
      <c r="B72" s="3" t="s">
        <v>36</v>
      </c>
      <c r="C72" s="3">
        <v>400</v>
      </c>
    </row>
    <row r="73" spans="1:3">
      <c r="A73" s="2">
        <v>45926</v>
      </c>
      <c r="B73" s="3" t="s">
        <v>171</v>
      </c>
      <c r="C73" s="3">
        <v>200</v>
      </c>
    </row>
    <row r="74" spans="1:3">
      <c r="A74" s="2">
        <v>45926</v>
      </c>
      <c r="B74" s="3" t="s">
        <v>160</v>
      </c>
      <c r="C74" s="3">
        <v>365</v>
      </c>
    </row>
    <row r="75" spans="1:3">
      <c r="A75" s="2">
        <v>45926</v>
      </c>
      <c r="B75" s="3" t="s">
        <v>164</v>
      </c>
      <c r="C75" s="3">
        <v>520.15</v>
      </c>
    </row>
    <row r="76" spans="1:3">
      <c r="A76" s="2">
        <v>45926</v>
      </c>
      <c r="B76" s="3" t="s">
        <v>101</v>
      </c>
      <c r="C76" s="3">
        <v>280</v>
      </c>
    </row>
    <row r="77" spans="1:3">
      <c r="A77" s="2">
        <v>45926</v>
      </c>
      <c r="B77" s="3" t="s">
        <v>46</v>
      </c>
      <c r="C77" s="3">
        <v>385</v>
      </c>
    </row>
    <row r="78" spans="1:3">
      <c r="A78" s="2">
        <v>45926</v>
      </c>
      <c r="B78" s="3" t="s">
        <v>100</v>
      </c>
      <c r="C78" s="3">
        <v>200</v>
      </c>
    </row>
    <row r="79" spans="1:3">
      <c r="A79" s="2">
        <v>45926</v>
      </c>
      <c r="B79" s="3" t="s">
        <v>114</v>
      </c>
      <c r="C79" s="3">
        <v>400</v>
      </c>
    </row>
    <row r="80" spans="1:3">
      <c r="A80" s="2">
        <v>45926</v>
      </c>
      <c r="B80" s="3" t="s">
        <v>121</v>
      </c>
      <c r="C80" s="3">
        <v>300</v>
      </c>
    </row>
    <row r="81" spans="1:3">
      <c r="A81" s="2">
        <v>45926</v>
      </c>
      <c r="B81" s="3" t="s">
        <v>165</v>
      </c>
      <c r="C81" s="3">
        <v>200</v>
      </c>
    </row>
    <row r="82" spans="1:3">
      <c r="A82" s="2">
        <v>45926</v>
      </c>
      <c r="B82" s="3" t="s">
        <v>166</v>
      </c>
      <c r="C82" s="3">
        <v>482.21</v>
      </c>
    </row>
    <row r="83" spans="1:3">
      <c r="A83" s="2">
        <v>45926</v>
      </c>
      <c r="B83" s="3" t="s">
        <v>113</v>
      </c>
      <c r="C83" s="3">
        <v>400</v>
      </c>
    </row>
    <row r="84" spans="1:3">
      <c r="A84" s="2">
        <v>45926</v>
      </c>
      <c r="B84" s="3" t="s">
        <v>216</v>
      </c>
      <c r="C84" s="3">
        <v>630</v>
      </c>
    </row>
    <row r="85" spans="1:3">
      <c r="A85" s="2">
        <v>45926</v>
      </c>
      <c r="B85" s="3" t="s">
        <v>217</v>
      </c>
      <c r="C85" s="3">
        <v>848</v>
      </c>
    </row>
    <row r="86" spans="1:3">
      <c r="A86" s="2">
        <v>45926</v>
      </c>
      <c r="B86" s="3" t="s">
        <v>212</v>
      </c>
      <c r="C86" s="3">
        <v>313.67</v>
      </c>
    </row>
    <row r="87" spans="1:3">
      <c r="A87" s="2">
        <v>45926</v>
      </c>
      <c r="B87" s="3" t="s">
        <v>221</v>
      </c>
      <c r="C87" s="3">
        <v>524</v>
      </c>
    </row>
    <row r="88" spans="1:3">
      <c r="A88" s="2">
        <v>45926</v>
      </c>
      <c r="B88" s="3" t="s">
        <v>103</v>
      </c>
      <c r="C88" s="3">
        <v>320</v>
      </c>
    </row>
    <row r="89" spans="1:3">
      <c r="A89" s="2">
        <v>45926</v>
      </c>
      <c r="B89" s="3" t="s">
        <v>173</v>
      </c>
      <c r="C89" s="3">
        <v>300</v>
      </c>
    </row>
    <row r="90" spans="1:3">
      <c r="A90" s="2">
        <v>45926</v>
      </c>
      <c r="B90" s="3" t="s">
        <v>172</v>
      </c>
      <c r="C90" s="3">
        <v>296.77</v>
      </c>
    </row>
    <row r="91" spans="1:3">
      <c r="A91" s="2">
        <v>45926</v>
      </c>
      <c r="B91" s="3" t="s">
        <v>116</v>
      </c>
      <c r="C91" s="3">
        <v>250</v>
      </c>
    </row>
    <row r="92" spans="1:3">
      <c r="A92" s="2">
        <v>45927</v>
      </c>
      <c r="B92" s="3" t="s">
        <v>100</v>
      </c>
      <c r="C92" s="3">
        <v>420</v>
      </c>
    </row>
    <row r="93" spans="1:3">
      <c r="A93" s="2">
        <v>45927</v>
      </c>
      <c r="B93" s="3" t="s">
        <v>181</v>
      </c>
      <c r="C93" s="3">
        <v>331</v>
      </c>
    </row>
    <row r="94" spans="1:3">
      <c r="A94" s="2">
        <v>45927</v>
      </c>
      <c r="B94" s="3" t="s">
        <v>189</v>
      </c>
      <c r="C94" s="3">
        <v>400</v>
      </c>
    </row>
    <row r="95" spans="1:3">
      <c r="A95" s="2">
        <v>45927</v>
      </c>
      <c r="B95" s="3" t="s">
        <v>191</v>
      </c>
      <c r="C95" s="3">
        <v>343.36</v>
      </c>
    </row>
    <row r="96" spans="1:3">
      <c r="A96" s="2">
        <v>45927</v>
      </c>
      <c r="B96" s="3" t="s">
        <v>190</v>
      </c>
      <c r="C96" s="3">
        <v>295.52</v>
      </c>
    </row>
    <row r="97" spans="1:3">
      <c r="A97" s="2">
        <v>45927</v>
      </c>
      <c r="B97" s="3" t="s">
        <v>101</v>
      </c>
      <c r="C97" s="3">
        <v>346</v>
      </c>
    </row>
    <row r="98" spans="1:3">
      <c r="A98" s="2">
        <v>45927</v>
      </c>
      <c r="B98" s="3" t="s">
        <v>168</v>
      </c>
      <c r="C98" s="3">
        <v>215</v>
      </c>
    </row>
    <row r="99" spans="1:3">
      <c r="A99" s="2">
        <v>45927</v>
      </c>
      <c r="B99" s="3" t="s">
        <v>102</v>
      </c>
      <c r="C99" s="3">
        <v>380</v>
      </c>
    </row>
    <row r="100" spans="1:3">
      <c r="A100" s="2">
        <v>45927</v>
      </c>
      <c r="B100" s="3" t="s">
        <v>107</v>
      </c>
      <c r="C100" s="3">
        <v>300</v>
      </c>
    </row>
    <row r="101" spans="1:3">
      <c r="A101" s="2">
        <v>45927</v>
      </c>
      <c r="B101" s="3" t="s">
        <v>169</v>
      </c>
      <c r="C101" s="3">
        <v>200</v>
      </c>
    </row>
    <row r="102" spans="1:3">
      <c r="A102" s="2">
        <v>45927</v>
      </c>
      <c r="B102" s="3" t="s">
        <v>120</v>
      </c>
      <c r="C102" s="3">
        <v>500</v>
      </c>
    </row>
    <row r="103" spans="1:3">
      <c r="A103" s="2">
        <v>45927</v>
      </c>
      <c r="B103" s="3" t="s">
        <v>214</v>
      </c>
      <c r="C103" s="3">
        <v>500.34</v>
      </c>
    </row>
    <row r="104" spans="1:3">
      <c r="A104" s="2">
        <v>45927</v>
      </c>
      <c r="B104" s="3" t="s">
        <v>108</v>
      </c>
      <c r="C104" s="3">
        <v>497</v>
      </c>
    </row>
    <row r="105" spans="1:3">
      <c r="A105" s="2">
        <v>45927</v>
      </c>
      <c r="B105" s="3" t="s">
        <v>171</v>
      </c>
      <c r="C105" s="3">
        <v>200</v>
      </c>
    </row>
    <row r="106" spans="1:3">
      <c r="A106" s="2">
        <v>45927</v>
      </c>
      <c r="B106" s="3" t="s">
        <v>172</v>
      </c>
      <c r="C106" s="3">
        <v>200</v>
      </c>
    </row>
    <row r="107" spans="1:3">
      <c r="A107" s="2">
        <v>45927</v>
      </c>
      <c r="B107" s="3" t="s">
        <v>106</v>
      </c>
      <c r="C107" s="3">
        <v>300</v>
      </c>
    </row>
    <row r="108" spans="1:3">
      <c r="A108" s="2">
        <v>45927</v>
      </c>
      <c r="B108" s="3" t="s">
        <v>112</v>
      </c>
      <c r="C108" s="3">
        <v>163.23</v>
      </c>
    </row>
    <row r="109" spans="1:3">
      <c r="A109" s="2">
        <v>45927</v>
      </c>
      <c r="B109" s="3" t="s">
        <v>215</v>
      </c>
      <c r="C109" s="3">
        <v>501</v>
      </c>
    </row>
    <row r="110" spans="1:3">
      <c r="A110" s="2">
        <v>45927</v>
      </c>
      <c r="B110" s="3" t="s">
        <v>219</v>
      </c>
      <c r="C110" s="3">
        <v>670.63</v>
      </c>
    </row>
    <row r="111" spans="1:3">
      <c r="A111" s="2">
        <v>45927</v>
      </c>
      <c r="B111" s="3" t="s">
        <v>121</v>
      </c>
      <c r="C111" s="3">
        <v>500</v>
      </c>
    </row>
    <row r="112" spans="1:3">
      <c r="A112" s="2">
        <v>45927</v>
      </c>
      <c r="B112" s="3" t="s">
        <v>91</v>
      </c>
      <c r="C112" s="3">
        <v>1171.31</v>
      </c>
    </row>
    <row r="113" spans="1:3">
      <c r="A113" s="2">
        <v>45927</v>
      </c>
      <c r="B113" s="3" t="s">
        <v>110</v>
      </c>
      <c r="C113" s="3">
        <v>479.78</v>
      </c>
    </row>
    <row r="114" spans="1:3">
      <c r="A114" s="2">
        <v>45927</v>
      </c>
      <c r="B114" s="3" t="s">
        <v>40</v>
      </c>
      <c r="C114" s="3">
        <v>746</v>
      </c>
    </row>
    <row r="115" spans="1:3">
      <c r="A115" s="2">
        <v>45927</v>
      </c>
      <c r="B115" s="3" t="s">
        <v>177</v>
      </c>
      <c r="C115" s="3">
        <v>116.62</v>
      </c>
    </row>
    <row r="116" spans="1:3">
      <c r="A116" s="2">
        <v>45927</v>
      </c>
      <c r="B116" s="3" t="s">
        <v>50</v>
      </c>
      <c r="C116" s="3">
        <v>220.06</v>
      </c>
    </row>
    <row r="117" spans="1:3">
      <c r="A117" s="2">
        <v>45927</v>
      </c>
      <c r="B117" s="3" t="s">
        <v>92</v>
      </c>
      <c r="C117" s="3">
        <v>200</v>
      </c>
    </row>
    <row r="118" spans="1:3">
      <c r="A118" s="2">
        <v>45927</v>
      </c>
      <c r="B118" s="3" t="s">
        <v>93</v>
      </c>
      <c r="C118" s="3">
        <v>320</v>
      </c>
    </row>
    <row r="119" spans="1:3">
      <c r="A119" s="2">
        <v>45927</v>
      </c>
      <c r="B119" s="3" t="s">
        <v>48</v>
      </c>
      <c r="C119" s="3">
        <v>795</v>
      </c>
    </row>
    <row r="120" spans="1:3">
      <c r="A120" s="2">
        <v>45927</v>
      </c>
      <c r="B120" s="3" t="s">
        <v>178</v>
      </c>
      <c r="C120" s="3">
        <v>707.67</v>
      </c>
    </row>
    <row r="121" spans="1:3">
      <c r="A121" s="2">
        <v>45927</v>
      </c>
      <c r="B121" s="3" t="s">
        <v>218</v>
      </c>
      <c r="C121" s="3">
        <v>523.6</v>
      </c>
    </row>
    <row r="122" spans="1:3">
      <c r="A122" s="2">
        <v>45927</v>
      </c>
      <c r="B122" s="3" t="s">
        <v>220</v>
      </c>
      <c r="C122" s="3">
        <v>487.29</v>
      </c>
    </row>
    <row r="123" spans="1:3">
      <c r="A123" s="2">
        <v>45927</v>
      </c>
      <c r="B123" s="3" t="s">
        <v>216</v>
      </c>
      <c r="C123" s="3">
        <v>313</v>
      </c>
    </row>
    <row r="124" spans="1:3">
      <c r="A124" s="2">
        <v>45927</v>
      </c>
      <c r="B124" s="3" t="s">
        <v>94</v>
      </c>
      <c r="C124" s="3">
        <v>291.35</v>
      </c>
    </row>
    <row r="125" spans="1:3">
      <c r="A125" s="2">
        <v>45927</v>
      </c>
      <c r="B125" s="3" t="s">
        <v>116</v>
      </c>
      <c r="C125" s="3">
        <v>223.38</v>
      </c>
    </row>
    <row r="126" spans="1:3">
      <c r="A126" s="2">
        <v>45927</v>
      </c>
      <c r="B126" s="3" t="s">
        <v>95</v>
      </c>
      <c r="C126" s="3">
        <v>300</v>
      </c>
    </row>
    <row r="127" spans="1:3">
      <c r="A127" s="2">
        <v>45927</v>
      </c>
      <c r="B127" s="3" t="s">
        <v>226</v>
      </c>
      <c r="C127" s="3">
        <v>221</v>
      </c>
    </row>
    <row r="128" spans="1:3">
      <c r="A128" s="2">
        <v>45927</v>
      </c>
      <c r="B128" s="3" t="s">
        <v>179</v>
      </c>
      <c r="C128" s="3">
        <v>159.75</v>
      </c>
    </row>
    <row r="129" spans="1:3">
      <c r="A129" s="2">
        <v>45927</v>
      </c>
      <c r="B129" s="3" t="s">
        <v>160</v>
      </c>
      <c r="C129" s="3">
        <v>150.01</v>
      </c>
    </row>
    <row r="130" spans="1:3">
      <c r="A130" s="2">
        <v>45927</v>
      </c>
      <c r="B130" s="3" t="s">
        <v>164</v>
      </c>
      <c r="C130" s="3">
        <v>310</v>
      </c>
    </row>
    <row r="131" spans="1:3">
      <c r="A131" s="2">
        <v>45927</v>
      </c>
      <c r="B131" s="3" t="s">
        <v>114</v>
      </c>
      <c r="C131" s="3">
        <v>196.84</v>
      </c>
    </row>
    <row r="132" spans="1:3">
      <c r="A132" s="2">
        <v>45927</v>
      </c>
      <c r="B132" s="3" t="s">
        <v>118</v>
      </c>
      <c r="C132" s="3">
        <v>470</v>
      </c>
    </row>
    <row r="133" spans="1:3">
      <c r="A133" s="2">
        <v>45927</v>
      </c>
      <c r="B133" s="3" t="s">
        <v>105</v>
      </c>
      <c r="C133" s="3">
        <v>450.05</v>
      </c>
    </row>
    <row r="134" spans="1:3">
      <c r="A134" s="2">
        <v>45927</v>
      </c>
      <c r="B134" s="3" t="s">
        <v>97</v>
      </c>
      <c r="C134" s="3">
        <v>340</v>
      </c>
    </row>
    <row r="135" spans="1:3">
      <c r="A135" s="2">
        <v>45927</v>
      </c>
      <c r="B135" s="3" t="s">
        <v>99</v>
      </c>
      <c r="C135" s="3">
        <v>400</v>
      </c>
    </row>
    <row r="136" spans="1:3">
      <c r="A136" s="2">
        <v>45927</v>
      </c>
      <c r="B136" s="3" t="s">
        <v>111</v>
      </c>
      <c r="C136" s="3">
        <v>453</v>
      </c>
    </row>
    <row r="137" spans="1:3">
      <c r="A137" s="2">
        <v>45927</v>
      </c>
      <c r="B137" s="3" t="s">
        <v>217</v>
      </c>
      <c r="C137" s="3">
        <v>415</v>
      </c>
    </row>
    <row r="138" spans="1:3">
      <c r="A138" s="2">
        <v>45927</v>
      </c>
      <c r="B138" s="3" t="s">
        <v>47</v>
      </c>
      <c r="C138" s="3">
        <v>640</v>
      </c>
    </row>
    <row r="139" spans="1:3">
      <c r="A139" s="2">
        <v>45927</v>
      </c>
      <c r="B139" s="3" t="s">
        <v>109</v>
      </c>
      <c r="C139" s="3">
        <v>420.01</v>
      </c>
    </row>
    <row r="140" spans="1:3">
      <c r="A140" s="2">
        <v>45927</v>
      </c>
      <c r="B140" s="3" t="s">
        <v>100</v>
      </c>
      <c r="C140" s="3">
        <v>350</v>
      </c>
    </row>
    <row r="141" spans="1:3">
      <c r="A141" s="2">
        <v>45927</v>
      </c>
      <c r="B141" s="3" t="s">
        <v>96</v>
      </c>
      <c r="C141" s="3">
        <v>224</v>
      </c>
    </row>
    <row r="142" spans="1:3">
      <c r="A142" s="2">
        <v>45927</v>
      </c>
      <c r="B142" s="3" t="s">
        <v>182</v>
      </c>
      <c r="C142" s="3">
        <v>135.79</v>
      </c>
    </row>
    <row r="143" spans="1:3">
      <c r="A143" s="2">
        <v>45927</v>
      </c>
      <c r="B143" s="3" t="s">
        <v>121</v>
      </c>
      <c r="C143" s="3">
        <v>530</v>
      </c>
    </row>
    <row r="144" spans="1:3">
      <c r="A144" s="2">
        <v>45927</v>
      </c>
      <c r="B144" s="3" t="s">
        <v>183</v>
      </c>
      <c r="C144" s="3">
        <v>137.82</v>
      </c>
    </row>
    <row r="145" spans="1:3">
      <c r="A145" s="2">
        <v>45927</v>
      </c>
      <c r="B145" s="3" t="s">
        <v>184</v>
      </c>
      <c r="C145" s="3">
        <v>300</v>
      </c>
    </row>
    <row r="146" spans="1:3">
      <c r="A146" s="2">
        <v>45927</v>
      </c>
      <c r="B146" s="3" t="s">
        <v>185</v>
      </c>
      <c r="C146" s="3">
        <v>275</v>
      </c>
    </row>
    <row r="147" spans="1:3">
      <c r="A147" s="2">
        <v>45927</v>
      </c>
      <c r="B147" s="3" t="s">
        <v>186</v>
      </c>
      <c r="C147" s="3">
        <v>400</v>
      </c>
    </row>
    <row r="148" spans="1:3">
      <c r="A148" s="2">
        <v>45927</v>
      </c>
      <c r="B148" s="3" t="s">
        <v>221</v>
      </c>
      <c r="C148" s="3">
        <v>326</v>
      </c>
    </row>
    <row r="149" spans="1:3">
      <c r="A149" s="2">
        <v>45927</v>
      </c>
      <c r="B149" s="3" t="s">
        <v>225</v>
      </c>
      <c r="C149" s="3">
        <v>200</v>
      </c>
    </row>
    <row r="150" spans="1:3">
      <c r="A150" s="2">
        <v>45927</v>
      </c>
      <c r="B150" s="3" t="s">
        <v>187</v>
      </c>
      <c r="C150" s="3">
        <v>457.67</v>
      </c>
    </row>
    <row r="151" spans="1:3">
      <c r="A151" s="2">
        <v>45927</v>
      </c>
      <c r="B151" s="3" t="s">
        <v>166</v>
      </c>
      <c r="C151" s="3">
        <v>207.11</v>
      </c>
    </row>
    <row r="152" spans="1:3">
      <c r="A152" s="2">
        <v>45927</v>
      </c>
      <c r="B152" s="3" t="s">
        <v>165</v>
      </c>
      <c r="C152" s="3">
        <v>236.69</v>
      </c>
    </row>
    <row r="153" spans="1:3">
      <c r="A153" s="2">
        <v>45927</v>
      </c>
      <c r="B153" s="3" t="s">
        <v>222</v>
      </c>
      <c r="C153" s="3">
        <v>208.09</v>
      </c>
    </row>
    <row r="154" spans="1:3">
      <c r="A154" s="2">
        <v>45927</v>
      </c>
      <c r="B154" s="3" t="s">
        <v>36</v>
      </c>
      <c r="C154" s="3">
        <v>400</v>
      </c>
    </row>
    <row r="155" spans="1:3">
      <c r="A155" s="2">
        <v>45927</v>
      </c>
      <c r="B155" s="3" t="s">
        <v>118</v>
      </c>
      <c r="C155" s="3">
        <v>650</v>
      </c>
    </row>
    <row r="156" spans="1:3">
      <c r="A156" s="2">
        <v>45927</v>
      </c>
      <c r="B156" s="3" t="s">
        <v>46</v>
      </c>
      <c r="C156" s="3">
        <v>414</v>
      </c>
    </row>
    <row r="157" spans="1:3">
      <c r="A157" s="2">
        <v>45927</v>
      </c>
      <c r="B157" s="3" t="s">
        <v>188</v>
      </c>
      <c r="C157" s="3">
        <v>200</v>
      </c>
    </row>
    <row r="158" spans="1:3">
      <c r="A158" s="2">
        <v>45927</v>
      </c>
      <c r="B158" s="3" t="s">
        <v>174</v>
      </c>
      <c r="C158" s="3">
        <v>474</v>
      </c>
    </row>
    <row r="159" spans="1:3">
      <c r="A159" s="2">
        <v>45927</v>
      </c>
      <c r="B159" s="3" t="s">
        <v>173</v>
      </c>
      <c r="C159" s="3">
        <v>300</v>
      </c>
    </row>
    <row r="160" spans="1:3">
      <c r="A160" s="2">
        <v>45927</v>
      </c>
      <c r="B160" s="3" t="s">
        <v>161</v>
      </c>
      <c r="C160" s="3">
        <v>150</v>
      </c>
    </row>
    <row r="161" spans="1:3">
      <c r="A161" s="2">
        <v>45927</v>
      </c>
      <c r="B161" s="3" t="s">
        <v>163</v>
      </c>
      <c r="C161" s="3">
        <v>231.47</v>
      </c>
    </row>
    <row r="162" spans="1:3">
      <c r="A162" s="2">
        <v>45927</v>
      </c>
      <c r="B162" s="3" t="s">
        <v>168</v>
      </c>
      <c r="C162" s="3">
        <v>200</v>
      </c>
    </row>
    <row r="163" spans="1:3">
      <c r="A163" s="2">
        <v>45927</v>
      </c>
      <c r="B163" s="3" t="s">
        <v>105</v>
      </c>
      <c r="C163" s="3">
        <v>330</v>
      </c>
    </row>
    <row r="164" spans="1:3">
      <c r="A164" s="2">
        <v>45927</v>
      </c>
      <c r="B164" s="3" t="s">
        <v>169</v>
      </c>
      <c r="C164" s="3">
        <v>200</v>
      </c>
    </row>
    <row r="165" spans="1:3">
      <c r="A165" s="2">
        <v>45927</v>
      </c>
      <c r="B165" s="3" t="s">
        <v>171</v>
      </c>
      <c r="C165" s="3">
        <v>190</v>
      </c>
    </row>
    <row r="166" spans="1:3">
      <c r="A166" s="2">
        <v>45927</v>
      </c>
      <c r="B166" s="3" t="s">
        <v>104</v>
      </c>
      <c r="C166" s="3">
        <v>244</v>
      </c>
    </row>
    <row r="167" spans="1:3">
      <c r="A167" s="2">
        <v>45927</v>
      </c>
      <c r="B167" s="3" t="s">
        <v>224</v>
      </c>
      <c r="C167" s="3">
        <v>610.02</v>
      </c>
    </row>
    <row r="168" spans="1:3">
      <c r="A168" s="2">
        <v>45927</v>
      </c>
      <c r="B168" s="3" t="s">
        <v>98</v>
      </c>
      <c r="C168" s="3">
        <v>380</v>
      </c>
    </row>
    <row r="169" spans="1:3">
      <c r="A169" s="2">
        <v>45927</v>
      </c>
      <c r="B169" s="3" t="s">
        <v>103</v>
      </c>
      <c r="C169" s="3">
        <v>200</v>
      </c>
    </row>
    <row r="170" spans="1:3">
      <c r="A170" s="2">
        <v>45927</v>
      </c>
      <c r="B170" s="3" t="s">
        <v>123</v>
      </c>
      <c r="C170" s="3">
        <v>445.01</v>
      </c>
    </row>
    <row r="171" spans="1:3">
      <c r="A171" s="2">
        <v>45927</v>
      </c>
      <c r="B171" s="3" t="s">
        <v>172</v>
      </c>
      <c r="C171" s="3">
        <v>479.24</v>
      </c>
    </row>
    <row r="172" spans="1:3">
      <c r="A172" s="2">
        <v>45927</v>
      </c>
      <c r="B172" s="3" t="s">
        <v>113</v>
      </c>
      <c r="C172" s="3">
        <v>400</v>
      </c>
    </row>
    <row r="173" spans="1:3">
      <c r="A173" s="2">
        <v>45927</v>
      </c>
      <c r="B173" s="3" t="s">
        <v>223</v>
      </c>
      <c r="C173" s="3">
        <v>262.06</v>
      </c>
    </row>
    <row r="174" spans="1:3">
      <c r="A174" s="2">
        <v>45928</v>
      </c>
      <c r="B174" s="3" t="s">
        <v>103</v>
      </c>
      <c r="C174" s="3">
        <v>200</v>
      </c>
    </row>
    <row r="175" spans="1:3">
      <c r="A175" s="2">
        <v>45928</v>
      </c>
      <c r="B175" s="3" t="s">
        <v>100</v>
      </c>
      <c r="C175" s="3">
        <v>200</v>
      </c>
    </row>
    <row r="176" spans="1:3">
      <c r="A176" s="2">
        <v>45928</v>
      </c>
      <c r="B176" s="3" t="s">
        <v>101</v>
      </c>
      <c r="C176" s="3">
        <v>200</v>
      </c>
    </row>
    <row r="177" spans="1:3">
      <c r="A177" s="2">
        <v>45928</v>
      </c>
      <c r="B177" s="3" t="s">
        <v>179</v>
      </c>
      <c r="C177" s="3">
        <v>130</v>
      </c>
    </row>
    <row r="178" spans="1:3">
      <c r="A178" s="2">
        <v>45928</v>
      </c>
      <c r="B178" s="3" t="s">
        <v>102</v>
      </c>
      <c r="C178" s="3">
        <v>410</v>
      </c>
    </row>
    <row r="179" spans="1:3">
      <c r="A179" s="2">
        <v>45928</v>
      </c>
      <c r="B179" s="3" t="s">
        <v>107</v>
      </c>
      <c r="C179" s="3">
        <v>480</v>
      </c>
    </row>
    <row r="180" spans="1:3">
      <c r="A180" s="2">
        <v>45928</v>
      </c>
      <c r="B180" s="3" t="s">
        <v>113</v>
      </c>
      <c r="C180" s="3">
        <v>310</v>
      </c>
    </row>
    <row r="181" spans="1:3">
      <c r="A181" s="2">
        <v>45928</v>
      </c>
      <c r="B181" s="3" t="s">
        <v>108</v>
      </c>
      <c r="C181" s="3">
        <v>200</v>
      </c>
    </row>
    <row r="182" spans="1:3">
      <c r="A182" s="2">
        <v>45928</v>
      </c>
      <c r="B182" s="3" t="s">
        <v>106</v>
      </c>
      <c r="C182" s="3">
        <v>320</v>
      </c>
    </row>
    <row r="183" spans="1:3">
      <c r="A183" s="2">
        <v>45928</v>
      </c>
      <c r="B183" s="3" t="s">
        <v>110</v>
      </c>
      <c r="C183" s="3">
        <v>600</v>
      </c>
    </row>
    <row r="184" spans="1:3">
      <c r="A184" s="2">
        <v>45928</v>
      </c>
      <c r="B184" s="3" t="s">
        <v>112</v>
      </c>
      <c r="C184" s="3">
        <v>295.86</v>
      </c>
    </row>
    <row r="185" spans="1:3">
      <c r="A185" s="2">
        <v>45928</v>
      </c>
      <c r="B185" s="3" t="s">
        <v>121</v>
      </c>
      <c r="C185" s="3">
        <v>260.24</v>
      </c>
    </row>
    <row r="186" spans="1:3">
      <c r="A186" s="2">
        <v>45928</v>
      </c>
      <c r="B186" s="3" t="s">
        <v>105</v>
      </c>
      <c r="C186" s="3">
        <v>290</v>
      </c>
    </row>
    <row r="187" spans="1:3">
      <c r="A187" s="2">
        <v>45928</v>
      </c>
      <c r="B187" s="3" t="s">
        <v>53</v>
      </c>
      <c r="C187" s="3">
        <v>460</v>
      </c>
    </row>
    <row r="188" spans="1:3">
      <c r="A188" s="2">
        <v>45928</v>
      </c>
      <c r="B188" s="3" t="s">
        <v>182</v>
      </c>
      <c r="C188" s="3">
        <v>223.81</v>
      </c>
    </row>
    <row r="189" spans="1:3">
      <c r="A189" s="2">
        <v>45928</v>
      </c>
      <c r="B189" s="3" t="s">
        <v>111</v>
      </c>
      <c r="C189" s="3">
        <v>340.01</v>
      </c>
    </row>
    <row r="190" spans="1:3">
      <c r="A190" s="2">
        <v>45928</v>
      </c>
      <c r="B190" s="3" t="s">
        <v>183</v>
      </c>
      <c r="C190" s="3">
        <v>514.7</v>
      </c>
    </row>
    <row r="191" spans="1:3">
      <c r="A191" s="2">
        <v>45928</v>
      </c>
      <c r="B191" s="3" t="s">
        <v>118</v>
      </c>
      <c r="C191" s="3">
        <v>397.24</v>
      </c>
    </row>
    <row r="192" spans="1:3">
      <c r="A192" s="2">
        <v>45928</v>
      </c>
      <c r="B192" s="3" t="s">
        <v>43</v>
      </c>
      <c r="C192" s="3">
        <v>627</v>
      </c>
    </row>
    <row r="193" spans="1:3">
      <c r="A193" s="2">
        <v>45928</v>
      </c>
      <c r="B193" s="3" t="s">
        <v>184</v>
      </c>
      <c r="C193" s="3">
        <v>479.24</v>
      </c>
    </row>
    <row r="194" spans="1:3">
      <c r="A194" s="2">
        <v>45928</v>
      </c>
      <c r="B194" s="3" t="s">
        <v>91</v>
      </c>
      <c r="C194" s="3">
        <v>200</v>
      </c>
    </row>
    <row r="195" spans="1:3">
      <c r="A195" s="2">
        <v>45928</v>
      </c>
      <c r="B195" s="3" t="s">
        <v>175</v>
      </c>
      <c r="C195" s="3">
        <v>365</v>
      </c>
    </row>
    <row r="196" spans="1:3">
      <c r="A196" s="2">
        <v>45928</v>
      </c>
      <c r="B196" s="3" t="s">
        <v>185</v>
      </c>
      <c r="C196" s="3">
        <v>207.67</v>
      </c>
    </row>
    <row r="197" spans="1:3">
      <c r="A197" s="2">
        <v>45928</v>
      </c>
      <c r="B197" s="3" t="s">
        <v>92</v>
      </c>
      <c r="C197" s="3">
        <v>400</v>
      </c>
    </row>
    <row r="198" spans="1:3">
      <c r="A198" s="2">
        <v>45928</v>
      </c>
      <c r="B198" s="3" t="s">
        <v>122</v>
      </c>
      <c r="C198" s="3">
        <v>450</v>
      </c>
    </row>
    <row r="199" spans="1:3">
      <c r="A199" s="2">
        <v>45928</v>
      </c>
      <c r="B199" s="3" t="s">
        <v>42</v>
      </c>
      <c r="C199" s="3">
        <v>746</v>
      </c>
    </row>
    <row r="200" spans="1:3">
      <c r="A200" s="2">
        <v>45928</v>
      </c>
      <c r="B200" s="3" t="s">
        <v>121</v>
      </c>
      <c r="C200" s="3">
        <v>200</v>
      </c>
    </row>
    <row r="201" spans="1:3">
      <c r="A201" s="2">
        <v>45928</v>
      </c>
      <c r="B201" s="3" t="s">
        <v>115</v>
      </c>
      <c r="C201" s="3">
        <v>330</v>
      </c>
    </row>
    <row r="202" spans="1:3">
      <c r="A202" s="2">
        <v>45928</v>
      </c>
      <c r="B202" s="3" t="s">
        <v>117</v>
      </c>
      <c r="C202" s="3">
        <v>250</v>
      </c>
    </row>
    <row r="203" spans="1:3">
      <c r="A203" s="2">
        <v>45928</v>
      </c>
      <c r="B203" s="3" t="s">
        <v>93</v>
      </c>
      <c r="C203" s="3">
        <v>290</v>
      </c>
    </row>
    <row r="204" spans="1:3">
      <c r="A204" s="2">
        <v>45928</v>
      </c>
      <c r="B204" s="3" t="s">
        <v>176</v>
      </c>
      <c r="C204" s="3">
        <v>501</v>
      </c>
    </row>
    <row r="205" spans="1:3">
      <c r="A205" s="2">
        <v>45928</v>
      </c>
      <c r="B205" s="3" t="s">
        <v>220</v>
      </c>
      <c r="C205" s="3">
        <v>410</v>
      </c>
    </row>
    <row r="206" spans="1:3">
      <c r="A206" s="2">
        <v>45928</v>
      </c>
      <c r="B206" s="3" t="s">
        <v>186</v>
      </c>
      <c r="C206" s="3">
        <v>210</v>
      </c>
    </row>
    <row r="207" spans="1:3">
      <c r="A207" s="2">
        <v>45928</v>
      </c>
      <c r="B207" s="3" t="s">
        <v>221</v>
      </c>
      <c r="C207" s="3">
        <v>281.22</v>
      </c>
    </row>
    <row r="208" spans="1:3">
      <c r="A208" s="2">
        <v>45928</v>
      </c>
      <c r="B208" s="3" t="s">
        <v>119</v>
      </c>
      <c r="C208" s="3">
        <v>460</v>
      </c>
    </row>
    <row r="209" spans="1:3">
      <c r="A209" s="2">
        <v>45928</v>
      </c>
      <c r="B209" s="3" t="s">
        <v>109</v>
      </c>
      <c r="C209" s="3">
        <v>177</v>
      </c>
    </row>
    <row r="210" spans="1:3">
      <c r="A210" s="2">
        <v>45928</v>
      </c>
      <c r="B210" s="3" t="s">
        <v>215</v>
      </c>
      <c r="C210" s="3">
        <v>260</v>
      </c>
    </row>
    <row r="211" spans="1:3">
      <c r="A211" s="2">
        <v>45928</v>
      </c>
      <c r="B211" s="3" t="s">
        <v>216</v>
      </c>
      <c r="C211" s="3">
        <v>300</v>
      </c>
    </row>
    <row r="212" spans="1:3">
      <c r="A212" s="2">
        <v>45928</v>
      </c>
      <c r="B212" s="3" t="s">
        <v>217</v>
      </c>
      <c r="C212" s="3">
        <v>440</v>
      </c>
    </row>
    <row r="213" spans="1:3">
      <c r="A213" s="2">
        <v>45928</v>
      </c>
      <c r="B213" s="3" t="s">
        <v>181</v>
      </c>
      <c r="C213" s="3">
        <v>249.77</v>
      </c>
    </row>
    <row r="214" spans="1:3">
      <c r="A214" s="2">
        <v>45928</v>
      </c>
      <c r="B214" s="3" t="s">
        <v>120</v>
      </c>
      <c r="C214" s="3">
        <v>300</v>
      </c>
    </row>
    <row r="215" spans="1:3">
      <c r="A215" s="2">
        <v>45928</v>
      </c>
      <c r="B215" s="3" t="s">
        <v>110</v>
      </c>
      <c r="C215" s="3">
        <v>400</v>
      </c>
    </row>
    <row r="216" spans="1:3">
      <c r="A216" s="2">
        <v>45928</v>
      </c>
      <c r="B216" s="3" t="s">
        <v>189</v>
      </c>
      <c r="C216" s="3">
        <v>147.93</v>
      </c>
    </row>
    <row r="217" spans="1:3">
      <c r="A217" s="2">
        <v>45928</v>
      </c>
      <c r="B217" s="3" t="s">
        <v>37</v>
      </c>
      <c r="C217" s="3">
        <v>720</v>
      </c>
    </row>
    <row r="218" spans="1:3">
      <c r="A218" s="2">
        <v>45928</v>
      </c>
      <c r="B218" s="3" t="s">
        <v>191</v>
      </c>
      <c r="C218" s="3">
        <v>211.54</v>
      </c>
    </row>
    <row r="219" spans="1:3">
      <c r="A219" s="2">
        <v>45928</v>
      </c>
      <c r="B219" s="3" t="s">
        <v>167</v>
      </c>
      <c r="C219" s="3">
        <v>230.74</v>
      </c>
    </row>
    <row r="220" spans="1:3">
      <c r="A220" s="2">
        <v>45928</v>
      </c>
      <c r="B220" s="3" t="s">
        <v>160</v>
      </c>
      <c r="C220" s="3">
        <v>275</v>
      </c>
    </row>
    <row r="221" spans="1:3">
      <c r="A221" s="2">
        <v>45928</v>
      </c>
      <c r="B221" s="3" t="s">
        <v>54</v>
      </c>
      <c r="C221" s="3">
        <v>646</v>
      </c>
    </row>
    <row r="222" spans="1:3">
      <c r="A222" s="2">
        <v>45928</v>
      </c>
      <c r="B222" s="3" t="s">
        <v>47</v>
      </c>
      <c r="C222" s="3">
        <v>373.11</v>
      </c>
    </row>
    <row r="223" spans="1:3">
      <c r="A223" s="2">
        <v>45928</v>
      </c>
      <c r="B223" s="3" t="s">
        <v>190</v>
      </c>
      <c r="C223" s="3">
        <v>238.49</v>
      </c>
    </row>
    <row r="224" spans="1:3">
      <c r="A224" s="2">
        <v>45928</v>
      </c>
      <c r="B224" s="3" t="s">
        <v>36</v>
      </c>
      <c r="C224" s="3">
        <v>300</v>
      </c>
    </row>
    <row r="225" spans="1:3">
      <c r="A225" s="2">
        <v>45928</v>
      </c>
      <c r="B225" s="3" t="s">
        <v>164</v>
      </c>
      <c r="C225" s="3">
        <v>200</v>
      </c>
    </row>
    <row r="226" spans="1:3">
      <c r="A226" s="2">
        <v>45928</v>
      </c>
      <c r="B226" s="3" t="s">
        <v>219</v>
      </c>
      <c r="C226" s="3">
        <v>575</v>
      </c>
    </row>
    <row r="227" spans="1:3">
      <c r="A227" s="2">
        <v>45928</v>
      </c>
      <c r="B227" s="3" t="s">
        <v>111</v>
      </c>
      <c r="C227" s="3">
        <v>200</v>
      </c>
    </row>
    <row r="228" spans="1:3">
      <c r="A228" s="2">
        <v>45928</v>
      </c>
      <c r="B228" s="3" t="s">
        <v>165</v>
      </c>
      <c r="C228" s="3">
        <v>319.72</v>
      </c>
    </row>
    <row r="229" spans="1:3">
      <c r="A229" s="2">
        <v>45928</v>
      </c>
      <c r="B229" s="3" t="s">
        <v>222</v>
      </c>
      <c r="C229" s="3">
        <v>294</v>
      </c>
    </row>
    <row r="230" spans="1:3">
      <c r="A230" s="2">
        <v>45928</v>
      </c>
      <c r="B230" s="3" t="s">
        <v>46</v>
      </c>
      <c r="C230" s="3">
        <v>400</v>
      </c>
    </row>
    <row r="231" spans="1:3">
      <c r="A231" s="2">
        <v>45928</v>
      </c>
      <c r="B231" s="3" t="s">
        <v>187</v>
      </c>
      <c r="C231" s="3">
        <v>200</v>
      </c>
    </row>
    <row r="232" spans="1:3">
      <c r="A232" s="2">
        <v>45928</v>
      </c>
      <c r="B232" s="3" t="s">
        <v>188</v>
      </c>
      <c r="C232" s="3">
        <v>153.02</v>
      </c>
    </row>
    <row r="233" spans="1:3">
      <c r="A233" s="2">
        <v>45928</v>
      </c>
      <c r="B233" s="3" t="s">
        <v>174</v>
      </c>
      <c r="C233" s="3">
        <v>159.75</v>
      </c>
    </row>
    <row r="234" spans="1:3">
      <c r="A234" s="2">
        <v>45928</v>
      </c>
      <c r="B234" s="3" t="s">
        <v>226</v>
      </c>
      <c r="C234" s="3">
        <v>296</v>
      </c>
    </row>
    <row r="235" spans="1:3">
      <c r="A235" s="2">
        <v>45928</v>
      </c>
      <c r="B235" s="3" t="s">
        <v>105</v>
      </c>
      <c r="C235" s="3">
        <v>200</v>
      </c>
    </row>
    <row r="236" spans="1:3">
      <c r="A236" s="2">
        <v>45928</v>
      </c>
      <c r="B236" s="3" t="s">
        <v>161</v>
      </c>
      <c r="C236" s="3">
        <v>135</v>
      </c>
    </row>
    <row r="237" spans="1:3">
      <c r="A237" s="2">
        <v>45928</v>
      </c>
      <c r="B237" s="3" t="s">
        <v>163</v>
      </c>
      <c r="C237" s="3">
        <v>136.98</v>
      </c>
    </row>
    <row r="238" spans="1:3">
      <c r="A238" s="2">
        <v>45928</v>
      </c>
      <c r="B238" s="3" t="s">
        <v>168</v>
      </c>
      <c r="C238" s="3">
        <v>208.66</v>
      </c>
    </row>
    <row r="239" spans="1:3">
      <c r="A239" s="2">
        <v>45928</v>
      </c>
      <c r="B239" s="3" t="s">
        <v>40</v>
      </c>
      <c r="C239" s="3">
        <v>962.42</v>
      </c>
    </row>
    <row r="240" spans="1:3">
      <c r="A240" s="2">
        <v>45928</v>
      </c>
      <c r="B240" s="3" t="s">
        <v>118</v>
      </c>
      <c r="C240" s="3">
        <v>400</v>
      </c>
    </row>
    <row r="241" spans="1:3">
      <c r="A241" s="2">
        <v>45928</v>
      </c>
      <c r="B241" s="3" t="s">
        <v>166</v>
      </c>
      <c r="C241" s="3">
        <v>210.33</v>
      </c>
    </row>
    <row r="242" spans="1:3">
      <c r="A242" s="2">
        <v>45928</v>
      </c>
      <c r="B242" s="3" t="s">
        <v>169</v>
      </c>
      <c r="C242" s="3">
        <v>161.03</v>
      </c>
    </row>
    <row r="243" spans="1:3">
      <c r="A243" s="2">
        <v>45928</v>
      </c>
      <c r="B243" s="3" t="s">
        <v>171</v>
      </c>
      <c r="C243" s="3">
        <v>132.59</v>
      </c>
    </row>
    <row r="244" spans="1:3">
      <c r="A244" s="2">
        <v>45928</v>
      </c>
      <c r="B244" s="3" t="s">
        <v>172</v>
      </c>
      <c r="C244" s="3">
        <v>137.45</v>
      </c>
    </row>
    <row r="245" spans="1:3">
      <c r="A245" s="2">
        <v>45928</v>
      </c>
      <c r="B245" s="3" t="s">
        <v>211</v>
      </c>
      <c r="C245" s="3">
        <v>300</v>
      </c>
    </row>
    <row r="246" spans="1:3">
      <c r="A246" s="2">
        <v>45928</v>
      </c>
      <c r="B246" s="3" t="s">
        <v>224</v>
      </c>
      <c r="C246" s="3">
        <v>344</v>
      </c>
    </row>
    <row r="247" spans="1:3">
      <c r="A247" s="2">
        <v>45928</v>
      </c>
      <c r="B247" s="3" t="s">
        <v>173</v>
      </c>
      <c r="C247" s="3">
        <v>672.97</v>
      </c>
    </row>
    <row r="248" spans="1:3">
      <c r="A248" s="2">
        <v>45928</v>
      </c>
      <c r="B248" s="3" t="s">
        <v>50</v>
      </c>
      <c r="C248" s="3">
        <v>628</v>
      </c>
    </row>
    <row r="249" spans="1:3">
      <c r="A249" s="2">
        <v>45928</v>
      </c>
      <c r="B249" s="3" t="s">
        <v>94</v>
      </c>
      <c r="C249" s="3">
        <v>300</v>
      </c>
    </row>
    <row r="250" spans="1:3">
      <c r="A250" s="2">
        <v>45928</v>
      </c>
      <c r="B250" s="3" t="s">
        <v>48</v>
      </c>
      <c r="C250" s="3">
        <v>313.14</v>
      </c>
    </row>
    <row r="251" spans="1:3">
      <c r="A251" s="2">
        <v>45928</v>
      </c>
      <c r="B251" s="3" t="s">
        <v>212</v>
      </c>
      <c r="C251" s="3">
        <v>450</v>
      </c>
    </row>
    <row r="252" spans="1:3">
      <c r="A252" s="2">
        <v>45928</v>
      </c>
      <c r="B252" s="3" t="s">
        <v>95</v>
      </c>
      <c r="C252" s="3">
        <v>425</v>
      </c>
    </row>
    <row r="253" spans="1:3">
      <c r="A253" s="2">
        <v>45928</v>
      </c>
      <c r="B253" s="3" t="s">
        <v>96</v>
      </c>
      <c r="C253" s="3">
        <v>400</v>
      </c>
    </row>
    <row r="254" spans="1:3">
      <c r="A254" s="2">
        <v>45928</v>
      </c>
      <c r="B254" s="3" t="s">
        <v>98</v>
      </c>
      <c r="C254" s="3">
        <v>200</v>
      </c>
    </row>
    <row r="255" spans="1:3">
      <c r="A255" s="2">
        <v>45928</v>
      </c>
      <c r="B255" s="3" t="s">
        <v>103</v>
      </c>
      <c r="C255" s="3">
        <v>200</v>
      </c>
    </row>
    <row r="256" spans="1:3">
      <c r="A256" s="2">
        <v>45928</v>
      </c>
      <c r="B256" s="3" t="s">
        <v>223</v>
      </c>
      <c r="C256" s="3">
        <v>318.46</v>
      </c>
    </row>
    <row r="257" spans="1:3">
      <c r="A257" s="2">
        <v>45928</v>
      </c>
      <c r="B257" s="3" t="s">
        <v>225</v>
      </c>
      <c r="C257" s="3">
        <v>400</v>
      </c>
    </row>
    <row r="258" spans="1:3">
      <c r="A258" s="3"/>
      <c r="B258" s="3"/>
      <c r="C258" s="3">
        <v>89618.44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锐忠</vt:lpstr>
      <vt:lpstr>玉亮</vt:lpstr>
      <vt:lpstr>玉豪</vt:lpstr>
      <vt:lpstr>卢锐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谢霏雯18925490651</cp:lastModifiedBy>
  <dcterms:created xsi:type="dcterms:W3CDTF">2015-06-05T18:19:00Z</dcterms:created>
  <dcterms:modified xsi:type="dcterms:W3CDTF">2025-10-10T16:04:40Z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1C918D7395324CA186081547A8B2E750_12</vt:lpwstr>
  </property>
  <property fmtid="{D5CDD505-2E9C-101B-9397-08002B2CF9AE}" pid="3" name="KSOProductBuildVer">
    <vt:lpwstr>2052-12.1.0.22529</vt:lpwstr>
  </property>
</Properties>
</file>